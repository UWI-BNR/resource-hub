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dex" sheetId="1" r:id="rId2"/>
    <sheet name="Table-1" sheetId="2" r:id="rId4"/>
    <sheet name="Table-2" sheetId="3" r:id="rId5"/>
    <sheet name="Table-3" sheetId="4" r:id="rId6"/>
    <sheet name="Table-4" sheetId="5" r:id="rId7"/>
    <sheet name="Table-5" sheetId="6" r:id="rId8"/>
    <sheet name="Table-6" sheetId="7" r:id="rId9"/>
    <sheet name="Table-7" sheetId="8" r:id="rId10"/>
    <sheet name="Table-8" sheetId="9" r:id="rId11"/>
    <sheet name="Table-9" sheetId="10" r:id="rId12"/>
    <sheet name="Table-10" sheetId="11" r:id="rId13"/>
    <sheet name="Table-11" sheetId="12" r:id="rId14"/>
    <sheet name="Table-12" sheetId="13" r:id="rId15"/>
    <sheet name="Table-13" sheetId="14" r:id="rId16"/>
    <sheet name="Table-14" sheetId="15" r:id="rId17"/>
    <sheet name="Table-15" sheetId="16" r:id="rId18"/>
    <sheet name="Table-16" sheetId="17" r:id="rId19"/>
    <sheet name="Table-17" sheetId="18" r:id="rId20"/>
    <sheet name="Table-18" sheetId="19" r:id="rId21"/>
    <sheet name="Table-19" sheetId="20" r:id="rId22"/>
    <sheet name="Table-20" sheetId="21" r:id="rId23"/>
    <sheet name="Table-21" sheetId="22" r:id="rId24"/>
    <sheet name="Table-22" sheetId="23" r:id="rId25"/>
    <sheet name="Table-23" sheetId="24" r:id="rId26"/>
    <sheet name="Table-24" sheetId="25" r:id="rId27"/>
    <sheet name="Table-25" sheetId="26" r:id="rId28"/>
    <sheet name="Table-26" sheetId="27" r:id="rId29"/>
    <sheet name="Table-27" sheetId="28" r:id="rId30"/>
    <sheet name="Table-28" sheetId="29" r:id="rId31"/>
    <sheet name="Table-29" sheetId="30" r:id="rId32"/>
    <sheet name="Table-30" sheetId="31" r:id="rId33"/>
    <sheet name="Table-31" sheetId="32" r:id="rId34"/>
    <sheet name="Table-32" sheetId="33" r:id="rId35"/>
    <sheet name="Table-33" sheetId="34" r:id="rId3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<sst xmlns="http://schemas.openxmlformats.org/spreadsheetml/2006/main" xmlns:r="http://schemas.openxmlformats.org/officeDocument/2006/relationships" xmlns:xdr="http://schemas.openxmlformats.org/drawingml/2006/spreadsheetDrawing" count="800" uniqueCount="144">
  <si>
    <t>BNR CVD Tables: Levels of Missing Data</t>
  </si>
  <si>
    <t>Table 1</t>
  </si>
  <si>
    <t>Stroke Subtype: level of missingness by year of event</t>
  </si>
  <si>
    <t>Table 2</t>
  </si>
  <si>
    <t>AMI Subtype: level of missingness by year of event</t>
  </si>
  <si>
    <t>Table 3</t>
  </si>
  <si>
    <t>Date of Event: level of missingness by year of event</t>
  </si>
  <si>
    <t>Table 4</t>
  </si>
  <si>
    <t>Date of Admission: level of missingness by year of event</t>
  </si>
  <si>
    <t>Table 5</t>
  </si>
  <si>
    <t>Date of Hospital Discharge: level of missingness by year of event</t>
  </si>
  <si>
    <t>Table 6</t>
  </si>
  <si>
    <t>Date of Death: level of missingness by year of event</t>
  </si>
  <si>
    <t>Table 7</t>
  </si>
  <si>
    <t>Previous Stroke: level of missingness by year of event</t>
  </si>
  <si>
    <t>Table 8</t>
  </si>
  <si>
    <t>Previous Heart Attack: level of missingness by year of event</t>
  </si>
  <si>
    <t>Table 9</t>
  </si>
  <si>
    <t>Year of Previous Stroke: level of missingness by year of event</t>
  </si>
  <si>
    <t>Table 10</t>
  </si>
  <si>
    <t>Year of Previous Heart Attack: level of missingness by year of event</t>
  </si>
  <si>
    <t>Table 11</t>
  </si>
  <si>
    <t>History of Hypertension: level of missingness by year of event</t>
  </si>
  <si>
    <t>Table 12</t>
  </si>
  <si>
    <t>History of Diabetes: level of missingness by year of event</t>
  </si>
  <si>
    <t>Table 13</t>
  </si>
  <si>
    <t>DBP on Admission: level of missingness by year of event</t>
  </si>
  <si>
    <t>Table 14</t>
  </si>
  <si>
    <t>SBP on Admission: level of missingness by year of event</t>
  </si>
  <si>
    <t>Table 15</t>
  </si>
  <si>
    <t>Blood Glucose Measurement on Admission: level of missingness by year of event</t>
  </si>
  <si>
    <t>Table 16</t>
  </si>
  <si>
    <t>ECG on Admission: level of missingness by year of event</t>
  </si>
  <si>
    <t>Table 17</t>
  </si>
  <si>
    <t>Troponin tests completed: level of missingness by year of event</t>
  </si>
  <si>
    <t>Table 18</t>
  </si>
  <si>
    <t>Assessment by any Therapist: level of missingness by year of event</t>
  </si>
  <si>
    <t>Table 19</t>
  </si>
  <si>
    <t>Assessment by Occupational Therapist: level of missingness by year of event</t>
  </si>
  <si>
    <t>Table 20</t>
  </si>
  <si>
    <t>Assessment by Physiotherapist: level of missingness by year of event</t>
  </si>
  <si>
    <t>Table 21</t>
  </si>
  <si>
    <t>Assessment by Speech Therapist: level of missingness by year of event</t>
  </si>
  <si>
    <t>Table 22</t>
  </si>
  <si>
    <t>Swallowing assessment by Speech Therapist: level of missingness by year of event</t>
  </si>
  <si>
    <t>Table 23</t>
  </si>
  <si>
    <t>CT scan + Report Available: level of missingness by year of event</t>
  </si>
  <si>
    <t>Table 24</t>
  </si>
  <si>
    <t>Reperfusion: level of missingness by year of event</t>
  </si>
  <si>
    <t>Table 25</t>
  </si>
  <si>
    <t>Aspirin use (acute): level of missingness by year of event</t>
  </si>
  <si>
    <t>Table 26</t>
  </si>
  <si>
    <t>Aspirin use (chronic): level of missingness by year of event</t>
  </si>
  <si>
    <t>Table 27</t>
  </si>
  <si>
    <t>Discharge Meds (aspirin): level of missingness by year of event</t>
  </si>
  <si>
    <t>Table 28</t>
  </si>
  <si>
    <t>Discharge Meds (warfarin): level of missingness by year of event</t>
  </si>
  <si>
    <t>Table 29</t>
  </si>
  <si>
    <t>Discharge Meds (heparin): level of missingness by year of event</t>
  </si>
  <si>
    <t>Table 30</t>
  </si>
  <si>
    <t>Discharge Meds (antiplatelet): level of missingness by year of event</t>
  </si>
  <si>
    <t>Table 31</t>
  </si>
  <si>
    <t>Discharge Meds (statin): level of missingness by year of event</t>
  </si>
  <si>
    <t>Table 32</t>
  </si>
  <si>
    <t>Discharge Meds (ACE inhibitor): level of missingness by year of event</t>
  </si>
  <si>
    <t>Table 33</t>
  </si>
  <si>
    <t>Admission to Stroke Unit: level of missingness by year of event</t>
  </si>
  <si>
    <t>Event Subtypes</t>
  </si>
  <si>
    <t>Dates</t>
  </si>
  <si>
    <t>Previous Event</t>
  </si>
  <si>
    <t>Risk Factors</t>
  </si>
  <si>
    <t>At Admission</t>
  </si>
  <si>
    <t>Troponin</t>
  </si>
  <si>
    <t>Therapist Assessment</t>
  </si>
  <si>
    <t>CT scan</t>
  </si>
  <si>
    <t>Aspirin Use</t>
  </si>
  <si>
    <t>Discharge Meds</t>
  </si>
  <si>
    <t>Stroke Unit</t>
  </si>
  <si>
    <t>Table-1. Missing Values for Stroke Subtype by Year</t>
  </si>
  <si>
    <t># Missing</t>
  </si>
  <si>
    <t>Total Events</t>
  </si>
  <si>
    <t>% Missing</t>
  </si>
  <si>
    <t>Event Year</t>
  </si>
  <si>
    <t xml:space="preserve">  2010</t>
  </si>
  <si>
    <t xml:space="preserve">  2011</t>
  </si>
  <si>
    <t xml:space="preserve">  2012</t>
  </si>
  <si>
    <t xml:space="preserve">  2013</t>
  </si>
  <si>
    <t xml:space="preserve">  2014</t>
  </si>
  <si>
    <t xml:space="preserve">  2015</t>
  </si>
  <si>
    <t xml:space="preserve">  2016</t>
  </si>
  <si>
    <t xml:space="preserve">  2017</t>
  </si>
  <si>
    <t xml:space="preserve">  2018</t>
  </si>
  <si>
    <t xml:space="preserve">  2019</t>
  </si>
  <si>
    <t xml:space="preserve">  2020</t>
  </si>
  <si>
    <t xml:space="preserve">  2021</t>
  </si>
  <si>
    <t xml:space="preserve">  2022</t>
  </si>
  <si>
    <t xml:space="preserve">  2023</t>
  </si>
  <si>
    <t xml:space="preserve">  Total</t>
  </si>
  <si>
    <t>Prepared by Ian Hambleton on 26 Nov 2025 for the Barbados National Registry</t>
  </si>
  <si>
    <t>Table-2. Missing Values for AMI Subtype by Year</t>
  </si>
  <si>
    <t>Table-3. Missing Values for Date of Event by Year</t>
  </si>
  <si>
    <t>Table-4. Missing Values for Date of Admission by Year</t>
  </si>
  <si>
    <t>Table-5. Missing Values for Date of Discharge by Year</t>
  </si>
  <si>
    <t>Table-6. Missing Values for Date of Death by Year</t>
  </si>
  <si>
    <t>Table-7. Missing Values for Previous Stroke by Year</t>
  </si>
  <si>
    <t>Have assumed that this is collected for ALL events (strokes and heart attacks)</t>
  </si>
  <si>
    <t>Table-8. Missing Values for Previous Heart Attack by Year</t>
  </si>
  <si>
    <t>Table-9. Missing Values for Year of Previous Stroke by Year</t>
  </si>
  <si>
    <t>Table-10. Missing Values for Year of Previous Heart Attack by Year</t>
  </si>
  <si>
    <t>Table-11. Missing Values for History of Hypertension by Year</t>
  </si>
  <si>
    <t>How is this explored? Only if available in notes? Has the collection method changed over time?</t>
  </si>
  <si>
    <t>Table-12. Missing Values for History of Diabetes by Year</t>
  </si>
  <si>
    <t>Table-13. Missing Values for DBP on Admission by Year</t>
  </si>
  <si>
    <t>What defines a measurement on admission? Might a later measured be used as a proxy?</t>
  </si>
  <si>
    <t>Table-14. Missing Values for SBP on Admission by Year</t>
  </si>
  <si>
    <t>Table-15. Missing Values for Blood Glucose on Admission by Year</t>
  </si>
  <si>
    <t>It feels as though BLOOD GLUCOSE=No might be left as an empty database field. But just a hunch - for confirmation?</t>
  </si>
  <si>
    <t>Table-16. Missing Values for ECG on Admission by Year</t>
  </si>
  <si>
    <t>Might this be an ECG at any time after admission, not necessarily at admission?</t>
  </si>
  <si>
    <t>It feels as though ECG=No might be left as an empty database field. But just a hunch - for confirmation?</t>
  </si>
  <si>
    <t>Table-17. Missing Values for Troponin Measurement by Year</t>
  </si>
  <si>
    <t>Only for Heart Attacks.</t>
  </si>
  <si>
    <t>There is no option for zero measurements? So if no troponin, would this variable be left blank?</t>
  </si>
  <si>
    <t>Table-18. Missing Values for Assessment by Any Therapist by Year</t>
  </si>
  <si>
    <t>Only for Strokes.</t>
  </si>
  <si>
    <t>This overarching variable is YES if there is a record of any individual assessment, presumably?</t>
  </si>
  <si>
    <t>Table-19. Missing Values for Assessment by Occupational Therapist by Year</t>
  </si>
  <si>
    <t>Absence of information should presumably be coded as 99?</t>
  </si>
  <si>
    <t>Table-20. Missing Values for Assessment by Physiotherapist by Year</t>
  </si>
  <si>
    <t>Table-21. Missing Values for Assessment by Speech Therapist by Year</t>
  </si>
  <si>
    <t>Table-22. Missing Values for Swallowing assessment by Speech Therapist by Year</t>
  </si>
  <si>
    <t>Table-23. Missing Values for CT scan performed/available by Year</t>
  </si>
  <si>
    <t>Only for Strokes</t>
  </si>
  <si>
    <t>Table-24. Missing Values for Reperfusion performed by Year</t>
  </si>
  <si>
    <t>Table-25. Missing Values for Aspirin (acute) by Year</t>
  </si>
  <si>
    <t>Table-26. Missing Values for Aspirin (chronic) by Year</t>
  </si>
  <si>
    <t>Table-27. Missing Values for Discharge Meds (aspirin) by Year</t>
  </si>
  <si>
    <t>There is no missing data. Is this Correct? For review.</t>
  </si>
  <si>
    <t>Table-28. Missing Values for Discharge Meds (warfarin) by Year</t>
  </si>
  <si>
    <t>Table-29. Missing Values for Discharge Meds (heparin) by Year</t>
  </si>
  <si>
    <t>Table-30. Missing Values for Discharge Meds (antiplatelet) by Year</t>
  </si>
  <si>
    <t>Table-31. Missing Values for Discharge Meds (statin) by Year</t>
  </si>
  <si>
    <t>Table-32. Missing Values for Discharge Meds (ACE inhibitor) by Year</t>
  </si>
  <si>
    <t>Table-33. Missing Values for Admitted to Stroke Unit by Year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</si>
</sst>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2">
    <numFmt numFmtId="166" formatCode="#,##0"/>
    <numFmt numFmtId="167" formatCode="0.0"/>
  </numFmts>
  <fonts count="33921">
    <font>
      <sz val="11"/>
      <name val="Calibri"/>
    </font>
    <font>
      <sz val="11"/>
      <name val="Calibri"/>
    </font>
    <font>
      <sz val="14"/>
      <name val="Calibri"/>
    </font>
    <font>
      <sz val="14"/>
      <name val="Calibri"/>
    </font>
    <font>
      <sz val="14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u val="single"/>
      <color rgb="FF0563C1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u val="single"/>
      <color rgb="FF0563C1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u val="single"/>
      <color rgb="FF0563C1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u val="single"/>
      <color rgb="FF0563C1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u val="single"/>
      <color rgb="FF0563C1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u val="single"/>
      <color rgb="FF0563C1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u val="single"/>
      <color rgb="FF0563C1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u val="single"/>
      <color rgb="FF0563C1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u val="single"/>
      <color rgb="FF0563C1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u val="single"/>
      <color rgb="FF0563C1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u val="single"/>
      <color rgb="FF0563C1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u val="single"/>
      <color rgb="FF0563C1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u val="single"/>
      <color rgb="FF0563C1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u val="single"/>
      <color rgb="FF0563C1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u val="single"/>
      <color rgb="FF0563C1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u val="single"/>
      <color rgb="FF0563C1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u val="single"/>
      <color rgb="FF0563C1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u val="single"/>
      <color rgb="FF0563C1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u val="single"/>
      <color rgb="FF0563C1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u val="single"/>
      <color rgb="FF0563C1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u val="single"/>
      <color rgb="FF0563C1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u val="single"/>
      <color rgb="FF0563C1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u val="single"/>
      <color rgb="FF0563C1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u val="single"/>
      <color rgb="FF0563C1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u val="single"/>
      <color rgb="FF0563C1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u val="single"/>
      <color rgb="FF0563C1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u val="single"/>
      <color rgb="FF0563C1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u val="single"/>
      <color rgb="FF0563C1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u val="single"/>
      <color rgb="FF0563C1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u val="single"/>
      <color rgb="FF0563C1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u val="single"/>
      <color rgb="FF0563C1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u val="single"/>
      <color rgb="FF0563C1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u val="single"/>
      <color rgb="FF0563C1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4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color rgb="FF0563C1"/>
      <u val="single"/>
    </font>
    <font>
      <color rgb="FF0563C1"/>
      <u val="single"/>
      <name val="Calibri"/>
      <sz val="11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color rgb="FF0563C1"/>
      <u val="single"/>
    </font>
    <font>
      <color rgb="FF0563C1"/>
      <u val="single"/>
      <name val="Calibri"/>
      <sz val="11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color rgb="FF0563C1"/>
      <u val="single"/>
    </font>
    <font>
      <color rgb="FF0563C1"/>
      <u val="single"/>
      <name val="Calibri"/>
      <sz val="11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color rgb="FF0563C1"/>
      <u val="single"/>
    </font>
    <font>
      <color rgb="FF0563C1"/>
      <u val="single"/>
      <name val="Calibri"/>
      <sz val="11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color rgb="FF0563C1"/>
      <u val="single"/>
    </font>
    <font>
      <color rgb="FF0563C1"/>
      <u val="single"/>
      <name val="Calibri"/>
      <sz val="11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color rgb="FF0563C1"/>
      <u val="single"/>
    </font>
    <font>
      <color rgb="FF0563C1"/>
      <u val="single"/>
      <name val="Calibri"/>
      <sz val="11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color rgb="FF0563C1"/>
      <u val="single"/>
    </font>
    <font>
      <color rgb="FF0563C1"/>
      <u val="single"/>
      <name val="Calibri"/>
      <sz val="11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color rgb="FF0563C1"/>
      <u val="single"/>
    </font>
    <font>
      <color rgb="FF0563C1"/>
      <u val="single"/>
      <name val="Calibri"/>
      <sz val="11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color rgb="FF0563C1"/>
      <u val="single"/>
    </font>
    <font>
      <color rgb="FF0563C1"/>
      <u val="single"/>
      <name val="Calibri"/>
      <sz val="11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color rgb="FF0563C1"/>
      <u val="single"/>
    </font>
    <font>
      <color rgb="FF0563C1"/>
      <u val="single"/>
      <name val="Calibri"/>
      <sz val="11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color rgb="FF0563C1"/>
      <u val="single"/>
    </font>
    <font>
      <color rgb="FF0563C1"/>
      <u val="single"/>
      <name val="Calibri"/>
      <sz val="11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color rgb="FF0563C1"/>
      <u val="single"/>
    </font>
    <font>
      <color rgb="FF0563C1"/>
      <u val="single"/>
      <name val="Calibri"/>
      <sz val="11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color rgb="FF0563C1"/>
      <u val="single"/>
    </font>
    <font>
      <color rgb="FF0563C1"/>
      <u val="single"/>
      <name val="Calibri"/>
      <sz val="11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color rgb="FF0563C1"/>
      <u val="single"/>
    </font>
    <font>
      <color rgb="FF0563C1"/>
      <u val="single"/>
      <name val="Calibri"/>
      <sz val="11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color rgb="FF0563C1"/>
      <u val="single"/>
    </font>
    <font>
      <color rgb="FF0563C1"/>
      <u val="single"/>
      <name val="Calibri"/>
      <sz val="11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color rgb="FF0563C1"/>
      <u val="single"/>
    </font>
    <font>
      <color rgb="FF0563C1"/>
      <u val="single"/>
      <name val="Calibri"/>
      <sz val="11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color rgb="FF0563C1"/>
      <u val="single"/>
    </font>
    <font>
      <color rgb="FF0563C1"/>
      <u val="single"/>
      <name val="Calibri"/>
      <sz val="11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color rgb="FF0563C1"/>
      <u val="single"/>
    </font>
    <font>
      <color rgb="FF0563C1"/>
      <u val="single"/>
      <name val="Calibri"/>
      <sz val="11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color rgb="FF0563C1"/>
      <u val="single"/>
    </font>
    <font>
      <color rgb="FF0563C1"/>
      <u val="single"/>
      <name val="Calibri"/>
      <sz val="11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410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  <fill>
      <patternFill patternType="solid">
        <fgColor rgb="FFDDDDDD"/>
        <bgColor rgb="FFDDDDDD"/>
      </patternFill>
    </fill>
  </fills>
  <borders count="20235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20235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" fillId="0" borderId="6" xfId="0" applyFont="true"/>
    <xf numFmtId="0" fontId="13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10" xfId="0" applyFont="true"/>
    <xf numFmtId="0" fontId="20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" fillId="0" borderId="14" xfId="0" applyFont="true"/>
    <xf numFmtId="0" fontId="27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18" xfId="0" applyFont="true"/>
    <xf numFmtId="0" fontId="34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" fillId="0" borderId="22" xfId="0" applyFont="true"/>
    <xf numFmtId="0" fontId="41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26" xfId="0" applyFont="true"/>
    <xf numFmtId="0" fontId="48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" fillId="0" borderId="30" xfId="0" applyFont="true"/>
    <xf numFmtId="0" fontId="55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" fillId="0" borderId="34" xfId="0" applyFont="true"/>
    <xf numFmtId="0" fontId="62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" fillId="0" borderId="38" xfId="0" applyFont="true"/>
    <xf numFmtId="0" fontId="69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42" xfId="0" applyFont="true"/>
    <xf numFmtId="0" fontId="76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" fillId="0" borderId="46" xfId="0" applyFont="true"/>
    <xf numFmtId="0" fontId="83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50" xfId="0" applyFont="true"/>
    <xf numFmtId="0" fontId="90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0" borderId="54" xfId="0" applyFont="true"/>
    <xf numFmtId="0" fontId="97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58" xfId="0" applyFont="true"/>
    <xf numFmtId="0" fontId="104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" fillId="0" borderId="62" xfId="0" applyFont="true"/>
    <xf numFmtId="0" fontId="111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0" borderId="66" xfId="0" applyFont="true"/>
    <xf numFmtId="0" fontId="118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" fillId="0" borderId="70" xfId="0" applyFont="true"/>
    <xf numFmtId="0" fontId="125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" fillId="0" borderId="74" xfId="0" applyFont="true"/>
    <xf numFmtId="0" fontId="132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" fillId="0" borderId="78" xfId="0" applyFont="true"/>
    <xf numFmtId="0" fontId="139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" fillId="0" borderId="82" xfId="0" applyFont="true"/>
    <xf numFmtId="0" fontId="146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" fillId="0" borderId="86" xfId="0" applyFont="true"/>
    <xf numFmtId="0" fontId="153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" fillId="0" borderId="90" xfId="0" applyFont="true"/>
    <xf numFmtId="0" fontId="160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" fillId="0" borderId="94" xfId="0" applyFont="true"/>
    <xf numFmtId="0" fontId="167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" fillId="0" borderId="98" xfId="0" applyFont="true"/>
    <xf numFmtId="0" fontId="174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" fillId="0" borderId="102" xfId="0" applyFont="true"/>
    <xf numFmtId="0" fontId="181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" fillId="0" borderId="106" xfId="0" applyFont="true"/>
    <xf numFmtId="0" fontId="188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" fillId="0" borderId="110" xfId="0" applyFont="true"/>
    <xf numFmtId="0" fontId="195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" fillId="0" borderId="114" xfId="0" applyFont="true"/>
    <xf numFmtId="0" fontId="202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" fillId="0" borderId="118" xfId="0" applyFont="true"/>
    <xf numFmtId="0" fontId="209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" fillId="0" borderId="122" xfId="0" applyFont="true"/>
    <xf numFmtId="0" fontId="216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" fillId="0" borderId="126" xfId="0" applyFont="true"/>
    <xf numFmtId="0" fontId="223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" fillId="0" borderId="130" xfId="0" applyFont="true"/>
    <xf numFmtId="0" fontId="230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" fillId="0" borderId="134" xfId="0" applyFont="true"/>
    <xf numFmtId="0" fontId="237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" fillId="0" borderId="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" fillId="0" borderId="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5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" fillId="0" borderId="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7" fillId="0" borderId="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8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" fillId="0" borderId="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0" fillId="0" borderId="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1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" fillId="0" borderId="1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3" fillId="0" borderId="1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4" fillId="0" borderId="1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5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" fillId="0" borderId="1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0" fillId="0" borderId="1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01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2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3" fillId="0" borderId="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4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5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6" fillId="0" borderId="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07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8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9" fillId="0" borderId="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0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" fillId="0" borderId="1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2" fillId="0" borderId="1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13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4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5" fillId="0" borderId="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6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7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8" fillId="0" borderId="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19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0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1" fillId="0" borderId="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2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" fillId="0" borderId="2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4" fillId="0" borderId="2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25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6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7" fillId="0" borderId="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8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9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0" fillId="0" borderId="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31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2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3" fillId="0" borderId="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4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" fillId="0" borderId="2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6" fillId="0" borderId="2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37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8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9" fillId="0" borderId="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0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1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2" fillId="0" borderId="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43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4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5" fillId="0" borderId="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6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7" fillId="0" borderId="2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8" fillId="0" borderId="2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49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0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1" fillId="0" borderId="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2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3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4" fillId="0" borderId="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55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6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7" fillId="0" borderId="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8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" fillId="0" borderId="2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0" fillId="0" borderId="2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61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2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3" fillId="0" borderId="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4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5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6" fillId="0" borderId="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7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8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9" fillId="0" borderId="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0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" fillId="0" borderId="2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2" fillId="0" borderId="2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73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4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5" fillId="0" borderId="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6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7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8" fillId="0" borderId="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79" fillId="0" borderId="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0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1" fillId="0" borderId="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2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3" fillId="0" borderId="2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4" fillId="0" borderId="2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85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6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7" fillId="0" borderId="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8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9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0" fillId="0" borderId="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91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2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3" fillId="0" borderId="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4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" fillId="0" borderId="2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6" fillId="0" borderId="2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97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8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9" fillId="0" borderId="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0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1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2" fillId="0" borderId="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3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4" fillId="0" borderId="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5" fillId="0" borderId="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6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7" fillId="0" borderId="2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08" fillId="0" borderId="2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09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0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1" fillId="0" borderId="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2" fillId="0" borderId="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3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4" fillId="0" borderId="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15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6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7" fillId="0" borderId="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8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" fillId="0" borderId="2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0" fillId="0" borderId="2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21" fillId="0" borderId="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2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3" fillId="0" borderId="3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4" fillId="0" borderId="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5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6" fillId="0" borderId="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7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8" fillId="0" borderId="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9" fillId="0" borderId="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0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1" fillId="0" borderId="3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2" fillId="0" borderId="3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33" fillId="0" borderId="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4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5" fillId="0" borderId="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6" fillId="0" borderId="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7" fillId="0" borderId="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8" fillId="0" borderId="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39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0" fillId="0" borderId="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1" fillId="0" borderId="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2" fillId="0" borderId="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" fillId="0" borderId="3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4" fillId="0" borderId="3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45" fillId="0" borderId="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6" fillId="0" borderId="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7" fillId="0" borderId="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8" fillId="0" borderId="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9" fillId="0" borderId="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0" fillId="0" borderId="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51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2" fillId="0" borderId="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3" fillId="0" borderId="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4" fillId="0" borderId="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" fillId="0" borderId="3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6" fillId="0" borderId="3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57" fillId="0" borderId="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8" fillId="0" borderId="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9" fillId="0" borderId="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0" fillId="0" borderId="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1" fillId="0" borderId="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2" fillId="0" borderId="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63" fillId="0" borderId="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4" fillId="0" borderId="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5" fillId="0" borderId="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6" fillId="0" borderId="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" fillId="0" borderId="3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8" fillId="2" borderId="345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9" fillId="3" borderId="346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70" fillId="4" borderId="347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71" fillId="0" borderId="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2" fillId="0" borderId="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3" fillId="0" borderId="3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4" fillId="5" borderId="351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5" fillId="6" borderId="352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6" fillId="0" borderId="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7" fillId="0" borderId="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8" fillId="0" borderId="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9" fillId="7" borderId="356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0" fillId="8" borderId="357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1" fillId="0" borderId="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2" fillId="0" borderId="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3" fillId="0" borderId="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4" fillId="9" borderId="361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5" fillId="10" borderId="362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6" fillId="0" borderId="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7" fillId="0" borderId="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8" fillId="0" borderId="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9" fillId="0" borderId="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0" fillId="0" borderId="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1" fillId="0" borderId="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" fillId="0" borderId="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3" fillId="0" borderId="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4" fillId="0" borderId="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5" fillId="0" borderId="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6" fillId="0" borderId="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7" fillId="0" borderId="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" fillId="0" borderId="3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9" fillId="0" borderId="3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00" fillId="0" borderId="3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01" fillId="0" borderId="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2" fillId="0" borderId="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" fillId="0" borderId="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" fillId="0" borderId="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" fillId="0" borderId="3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06" fillId="0" borderId="3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07" fillId="0" borderId="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8" fillId="0" borderId="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9" fillId="0" borderId="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0" fillId="0" borderId="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1" fillId="0" borderId="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2" fillId="0" borderId="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3" fillId="0" borderId="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4" fillId="0" borderId="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5" fillId="0" borderId="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6" fillId="0" borderId="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" fillId="0" borderId="3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8" fillId="0" borderId="3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19" fillId="0" borderId="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0" fillId="0" borderId="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1" fillId="0" borderId="3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2" fillId="0" borderId="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3" fillId="0" borderId="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4" fillId="0" borderId="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5" fillId="0" borderId="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6" fillId="0" borderId="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7" fillId="0" borderId="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8" fillId="0" borderId="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9" fillId="0" borderId="4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0" fillId="0" borderId="4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31" fillId="0" borderId="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2" fillId="0" borderId="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3" fillId="0" borderId="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4" fillId="0" borderId="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5" fillId="0" borderId="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6" fillId="0" borderId="4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7" fillId="0" borderId="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8" fillId="0" borderId="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9" fillId="0" borderId="4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0" fillId="0" borderId="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1" fillId="0" borderId="4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42" fillId="0" borderId="4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43" fillId="0" borderId="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4" fillId="0" borderId="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5" fillId="0" borderId="4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6" fillId="0" borderId="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7" fillId="0" borderId="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8" fillId="0" borderId="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9" fillId="0" borderId="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0" fillId="0" borderId="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1" fillId="0" borderId="4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2" fillId="0" borderId="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3" fillId="0" borderId="4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4" fillId="0" borderId="4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55" fillId="0" borderId="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6" fillId="0" borderId="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7" fillId="0" borderId="4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8" fillId="0" borderId="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9" fillId="0" borderId="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0" fillId="0" borderId="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1" fillId="0" borderId="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2" fillId="0" borderId="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3" fillId="0" borderId="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4" fillId="0" borderId="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5" fillId="0" borderId="4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6" fillId="0" borderId="4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67" fillId="0" borderId="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8" fillId="0" borderId="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9" fillId="0" borderId="4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0" fillId="0" borderId="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1" fillId="0" borderId="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2" fillId="0" borderId="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3" fillId="0" borderId="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4" fillId="0" borderId="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5" fillId="0" borderId="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6" fillId="0" borderId="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7" fillId="0" borderId="4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8" fillId="0" borderId="4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79" fillId="0" borderId="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0" fillId="0" borderId="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1" fillId="0" borderId="4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2" fillId="0" borderId="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3" fillId="0" borderId="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4" fillId="0" borderId="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5" fillId="0" borderId="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6" fillId="0" borderId="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7" fillId="0" borderId="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8" fillId="0" borderId="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9" fillId="0" borderId="4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0" fillId="0" borderId="4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91" fillId="0" borderId="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2" fillId="0" borderId="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3" fillId="0" borderId="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4" fillId="0" borderId="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5" fillId="0" borderId="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6" fillId="0" borderId="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7" fillId="0" borderId="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8" fillId="0" borderId="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9" fillId="0" borderId="4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0" fillId="0" borderId="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1" fillId="0" borderId="4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2" fillId="0" borderId="4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03" fillId="0" borderId="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4" fillId="0" borderId="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5" fillId="0" borderId="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6" fillId="0" borderId="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7" fillId="0" borderId="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8" fillId="0" borderId="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9" fillId="0" borderId="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0" fillId="0" borderId="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1" fillId="0" borderId="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2" fillId="0" borderId="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3" fillId="0" borderId="4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14" fillId="0" borderId="4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15" fillId="0" borderId="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6" fillId="0" borderId="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7" fillId="0" borderId="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8" fillId="0" borderId="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9" fillId="0" borderId="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0" fillId="0" borderId="4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1" fillId="0" borderId="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2" fillId="0" borderId="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3" fillId="0" borderId="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4" fillId="0" borderId="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5" fillId="0" borderId="5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6" fillId="0" borderId="5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27" fillId="0" borderId="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8" fillId="0" borderId="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9" fillId="0" borderId="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0" fillId="0" borderId="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1" fillId="0" borderId="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2" fillId="0" borderId="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3" fillId="0" borderId="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4" fillId="0" borderId="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5" fillId="0" borderId="5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6" fillId="0" borderId="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7" fillId="0" borderId="5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38" fillId="0" borderId="5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39" fillId="0" borderId="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0" fillId="0" borderId="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1" fillId="0" borderId="5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2" fillId="0" borderId="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3" fillId="0" borderId="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4" fillId="0" borderId="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5" fillId="0" borderId="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6" fillId="0" borderId="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7" fillId="0" borderId="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8" fillId="0" borderId="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9" fillId="0" borderId="5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50" fillId="0" borderId="5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51" fillId="0" borderId="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2" fillId="0" borderId="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3" fillId="0" borderId="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4" fillId="0" borderId="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5" fillId="0" borderId="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6" fillId="0" borderId="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7" fillId="0" borderId="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8" fillId="0" borderId="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9" fillId="0" borderId="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0" fillId="0" borderId="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1" fillId="0" borderId="5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62" fillId="0" borderId="5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63" fillId="0" borderId="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4" fillId="0" borderId="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5" fillId="0" borderId="5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6" fillId="0" borderId="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7" fillId="0" borderId="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8" fillId="0" borderId="5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9" fillId="0" borderId="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0" fillId="0" borderId="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1" fillId="0" borderId="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2" fillId="0" borderId="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" fillId="0" borderId="5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74" fillId="11" borderId="551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75" fillId="12" borderId="552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76" fillId="13" borderId="553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77" fillId="0" borderId="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8" fillId="0" borderId="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9" fillId="0" borderId="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0" fillId="14" borderId="557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1" fillId="15" borderId="558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2" fillId="0" borderId="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3" fillId="0" borderId="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4" fillId="0" borderId="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5" fillId="16" borderId="562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6" fillId="17" borderId="563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7" fillId="0" borderId="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8" fillId="0" borderId="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9" fillId="0" borderId="5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0" fillId="18" borderId="567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1" fillId="19" borderId="568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2" fillId="0" borderId="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3" fillId="0" borderId="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4" fillId="0" borderId="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5" fillId="0" borderId="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6" fillId="0" borderId="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7" fillId="0" borderId="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8" fillId="0" borderId="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9" fillId="0" borderId="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0" fillId="0" borderId="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1" fillId="0" borderId="5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02" fillId="0" borderId="5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03" fillId="0" borderId="5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04" fillId="0" borderId="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5" fillId="0" borderId="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6" fillId="0" borderId="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7" fillId="0" borderId="5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08" fillId="0" borderId="5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09" fillId="0" borderId="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0" fillId="0" borderId="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1" fillId="0" borderId="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2" fillId="0" borderId="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3" fillId="0" borderId="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4" fillId="0" borderId="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5" fillId="0" borderId="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" fillId="0" borderId="5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17" fillId="0" borderId="5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18" fillId="0" borderId="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9" fillId="0" borderId="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0" fillId="0" borderId="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1" fillId="0" borderId="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2" fillId="0" borderId="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3" fillId="0" borderId="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4" fillId="0" borderId="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5" fillId="0" borderId="6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26" fillId="0" borderId="6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27" fillId="0" borderId="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8" fillId="0" borderId="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9" fillId="0" borderId="6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0" fillId="0" borderId="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1" fillId="0" borderId="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2" fillId="0" borderId="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3" fillId="0" borderId="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4" fillId="0" borderId="6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35" fillId="0" borderId="6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36" fillId="0" borderId="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7" fillId="0" borderId="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8" fillId="0" borderId="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9" fillId="0" borderId="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0" fillId="0" borderId="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1" fillId="0" borderId="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2" fillId="0" borderId="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3" fillId="0" borderId="6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44" fillId="0" borderId="6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45" fillId="0" borderId="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6" fillId="0" borderId="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7" fillId="0" borderId="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8" fillId="0" borderId="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9" fillId="0" borderId="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0" fillId="0" borderId="6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1" fillId="0" borderId="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2" fillId="0" borderId="6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53" fillId="0" borderId="6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54" fillId="0" borderId="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5" fillId="0" borderId="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6" fillId="0" borderId="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7" fillId="0" borderId="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8" fillId="0" borderId="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9" fillId="0" borderId="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0" fillId="0" borderId="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1" fillId="0" borderId="6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62" fillId="0" borderId="6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63" fillId="0" borderId="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4" fillId="0" borderId="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5" fillId="0" borderId="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6" fillId="0" borderId="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7" fillId="0" borderId="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8" fillId="0" borderId="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9" fillId="0" borderId="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0" fillId="0" borderId="6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71" fillId="0" borderId="6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72" fillId="0" borderId="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3" fillId="0" borderId="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4" fillId="0" borderId="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75" fillId="0" borderId="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6" fillId="0" borderId="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7" fillId="0" borderId="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8" fillId="0" borderId="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9" fillId="0" borderId="6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80" fillId="0" borderId="6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81" fillId="0" borderId="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2" fillId="0" borderId="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3" fillId="0" borderId="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4" fillId="0" borderId="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5" fillId="0" borderId="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6" fillId="0" borderId="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7" fillId="0" borderId="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8" fillId="0" borderId="6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89" fillId="0" borderId="6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90" fillId="0" borderId="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1" fillId="0" borderId="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2" fillId="0" borderId="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93" fillId="0" borderId="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4" fillId="0" borderId="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5" fillId="0" borderId="6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6" fillId="0" borderId="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7" fillId="0" borderId="6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98" fillId="0" borderId="6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99" fillId="0" borderId="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0" fillId="0" borderId="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1" fillId="0" borderId="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02" fillId="0" borderId="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3" fillId="0" borderId="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4" fillId="0" borderId="6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5" fillId="0" borderId="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6" fillId="0" borderId="6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07" fillId="0" borderId="6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08" fillId="0" borderId="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9" fillId="0" borderId="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0" fillId="0" borderId="6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11" fillId="0" borderId="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2" fillId="0" borderId="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3" fillId="0" borderId="6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4" fillId="0" borderId="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5" fillId="0" borderId="6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16" fillId="0" borderId="6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17" fillId="0" borderId="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8" fillId="0" borderId="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9" fillId="0" borderId="6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0" fillId="0" borderId="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1" fillId="0" borderId="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2" fillId="0" borderId="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3" fillId="0" borderId="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4" fillId="0" borderId="7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25" fillId="0" borderId="7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26" fillId="0" borderId="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7" fillId="0" borderId="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8" fillId="0" borderId="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9" fillId="0" borderId="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0" fillId="0" borderId="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1" fillId="0" borderId="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2" fillId="0" borderId="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3" fillId="0" borderId="7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34" fillId="20" borderId="711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35" fillId="21" borderId="712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36" fillId="22" borderId="713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37" fillId="0" borderId="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8" fillId="0" borderId="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9" fillId="0" borderId="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40" fillId="23" borderId="717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41" fillId="24" borderId="718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42" fillId="0" borderId="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3" fillId="0" borderId="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4" fillId="0" borderId="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45" fillId="25" borderId="722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46" fillId="26" borderId="723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7" fillId="0" borderId="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8" fillId="0" borderId="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9" fillId="0" borderId="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0" fillId="0" borderId="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1" fillId="0" borderId="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2" fillId="0" borderId="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3" fillId="0" borderId="7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4" fillId="0" borderId="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5" fillId="0" borderId="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6" fillId="0" borderId="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7" fillId="0" borderId="7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8" fillId="0" borderId="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9" fillId="0" borderId="7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60" fillId="0" borderId="7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61" fillId="0" borderId="7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62" fillId="0" borderId="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3" fillId="0" borderId="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4" fillId="0" borderId="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5" fillId="0" borderId="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6" fillId="0" borderId="7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67" fillId="0" borderId="7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68" fillId="0" borderId="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9" fillId="0" borderId="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0" fillId="0" borderId="7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71" fillId="0" borderId="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2" fillId="0" borderId="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3" fillId="0" borderId="7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74" fillId="0" borderId="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5" fillId="0" borderId="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6" fillId="0" borderId="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7" fillId="0" borderId="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8" fillId="0" borderId="7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79" fillId="0" borderId="7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80" fillId="0" borderId="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1" fillId="0" borderId="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2" fillId="0" borderId="7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83" fillId="0" borderId="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4" fillId="0" borderId="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5" fillId="0" borderId="7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6" fillId="0" borderId="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7" fillId="0" borderId="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8" fillId="0" borderId="7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9" fillId="0" borderId="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0" fillId="0" borderId="7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91" fillId="0" borderId="7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92" fillId="0" borderId="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3" fillId="0" borderId="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4" fillId="0" borderId="7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95" fillId="0" borderId="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6" fillId="0" borderId="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7" fillId="0" borderId="7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8" fillId="0" borderId="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9" fillId="0" borderId="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0" fillId="0" borderId="7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1" fillId="0" borderId="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2" fillId="0" borderId="7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03" fillId="0" borderId="7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04" fillId="0" borderId="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5" fillId="0" borderId="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6" fillId="0" borderId="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07" fillId="0" borderId="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8" fillId="0" borderId="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9" fillId="0" borderId="7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10" fillId="0" borderId="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1" fillId="0" borderId="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2" fillId="0" borderId="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3" fillId="0" borderId="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4" fillId="0" borderId="7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15" fillId="0" borderId="7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16" fillId="0" borderId="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7" fillId="0" borderId="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8" fillId="0" borderId="7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19" fillId="0" borderId="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0" fillId="0" borderId="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1" fillId="0" borderId="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2" fillId="0" borderId="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3" fillId="0" borderId="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4" fillId="0" borderId="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5" fillId="0" borderId="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6" fillId="0" borderId="8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27" fillId="0" borderId="8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28" fillId="0" borderId="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9" fillId="0" borderId="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0" fillId="0" borderId="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31" fillId="0" borderId="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2" fillId="0" borderId="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3" fillId="0" borderId="8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4" fillId="0" borderId="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5" fillId="0" borderId="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6" fillId="0" borderId="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7" fillId="0" borderId="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8" fillId="0" borderId="8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39" fillId="0" borderId="8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40" fillId="0" borderId="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1" fillId="0" borderId="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2" fillId="0" borderId="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43" fillId="0" borderId="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4" fillId="0" borderId="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5" fillId="0" borderId="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46" fillId="0" borderId="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7" fillId="0" borderId="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8" fillId="0" borderId="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9" fillId="0" borderId="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0" fillId="0" borderId="8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51" fillId="0" borderId="8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52" fillId="0" borderId="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3" fillId="0" borderId="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4" fillId="0" borderId="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55" fillId="0" borderId="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6" fillId="0" borderId="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7" fillId="0" borderId="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58" fillId="0" borderId="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9" fillId="0" borderId="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0" fillId="0" borderId="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1" fillId="0" borderId="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2" fillId="0" borderId="8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63" fillId="0" borderId="8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64" fillId="0" borderId="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5" fillId="0" borderId="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6" fillId="0" borderId="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67" fillId="0" borderId="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8" fillId="0" borderId="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9" fillId="0" borderId="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70" fillId="0" borderId="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71" fillId="0" borderId="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72" fillId="0" borderId="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73" fillId="0" borderId="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4" fillId="0" borderId="8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75" fillId="0" borderId="8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76" fillId="0" borderId="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7" fillId="0" borderId="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8" fillId="0" borderId="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79" fillId="0" borderId="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0" fillId="0" borderId="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1" fillId="0" borderId="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82" fillId="0" borderId="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3" fillId="0" borderId="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4" fillId="0" borderId="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5" fillId="0" borderId="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6" fillId="0" borderId="8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87" fillId="0" borderId="8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88" fillId="0" borderId="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9" fillId="0" borderId="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0" fillId="0" borderId="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91" fillId="0" borderId="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2" fillId="0" borderId="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3" fillId="0" borderId="8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94" fillId="0" borderId="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5" fillId="0" borderId="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6" fillId="0" borderId="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7" fillId="0" borderId="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8" fillId="0" borderId="8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99" fillId="0" borderId="8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00" fillId="0" borderId="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1" fillId="0" borderId="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2" fillId="0" borderId="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03" fillId="0" borderId="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4" fillId="0" borderId="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5" fillId="0" borderId="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06" fillId="0" borderId="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7" fillId="0" borderId="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8" fillId="0" borderId="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9" fillId="0" borderId="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0" fillId="0" borderId="8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11" fillId="0" borderId="8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12" fillId="0" borderId="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3" fillId="0" borderId="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4" fillId="0" borderId="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15" fillId="0" borderId="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6" fillId="0" borderId="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7" fillId="0" borderId="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18" fillId="0" borderId="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9" fillId="0" borderId="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0" fillId="0" borderId="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1" fillId="0" borderId="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2" fillId="0" borderId="8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23" fillId="0" borderId="9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24" fillId="0" borderId="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5" fillId="0" borderId="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6" fillId="0" borderId="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27" fillId="0" borderId="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8" fillId="0" borderId="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9" fillId="0" borderId="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30" fillId="0" borderId="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1" fillId="0" borderId="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2" fillId="0" borderId="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3" fillId="0" borderId="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4" fillId="0" borderId="9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35" fillId="27" borderId="912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36" fillId="28" borderId="913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37" fillId="29" borderId="914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38" fillId="0" borderId="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9" fillId="0" borderId="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0" fillId="0" borderId="9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41" fillId="30" borderId="918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42" fillId="31" borderId="919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43" fillId="0" borderId="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4" fillId="0" borderId="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5" fillId="0" borderId="9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46" fillId="32" borderId="923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47" fillId="33" borderId="924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48" fillId="0" borderId="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9" fillId="0" borderId="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0" fillId="0" borderId="9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51" fillId="34" borderId="928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52" fillId="35" borderId="929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3" fillId="0" borderId="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4" fillId="0" borderId="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5" fillId="0" borderId="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6" fillId="0" borderId="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7" fillId="0" borderId="9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8" fillId="0" borderId="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9" fillId="0" borderId="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0" fillId="0" borderId="9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1" fillId="0" borderId="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2" fillId="0" borderId="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3" fillId="0" borderId="9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4" fillId="0" borderId="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5" fillId="0" borderId="9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66" fillId="0" borderId="9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67" fillId="0" borderId="9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68" fillId="0" borderId="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9" fillId="0" borderId="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0" fillId="0" borderId="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1" fillId="0" borderId="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2" fillId="0" borderId="9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73" fillId="0" borderId="9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74" fillId="0" borderId="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5" fillId="0" borderId="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6" fillId="0" borderId="9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77" fillId="0" borderId="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8" fillId="0" borderId="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9" fillId="0" borderId="9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80" fillId="0" borderId="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1" fillId="0" borderId="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2" fillId="0" borderId="9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3" fillId="0" borderId="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4" fillId="0" borderId="9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85" fillId="0" borderId="9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86" fillId="0" borderId="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7" fillId="0" borderId="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8" fillId="0" borderId="9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89" fillId="0" borderId="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0" fillId="0" borderId="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1" fillId="0" borderId="9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92" fillId="0" borderId="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3" fillId="0" borderId="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4" fillId="0" borderId="9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5" fillId="0" borderId="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6" fillId="0" borderId="9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97" fillId="0" borderId="9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98" fillId="0" borderId="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9" fillId="0" borderId="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0" fillId="0" borderId="9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01" fillId="0" borderId="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2" fillId="0" borderId="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3" fillId="0" borderId="9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04" fillId="0" borderId="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5" fillId="0" borderId="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6" fillId="0" borderId="9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7" fillId="0" borderId="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8" fillId="0" borderId="9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09" fillId="0" borderId="9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10" fillId="0" borderId="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1" fillId="0" borderId="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2" fillId="0" borderId="9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13" fillId="0" borderId="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4" fillId="0" borderId="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5" fillId="0" borderId="9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16" fillId="0" borderId="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7" fillId="0" borderId="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8" fillId="0" borderId="9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9" fillId="0" borderId="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0" fillId="0" borderId="9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21" fillId="0" borderId="9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22" fillId="0" borderId="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3" fillId="0" borderId="1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4" fillId="0" borderId="10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25" fillId="0" borderId="1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6" fillId="0" borderId="1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7" fillId="0" borderId="10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28" fillId="0" borderId="1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29" fillId="0" borderId="1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0" fillId="0" borderId="10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1" fillId="0" borderId="1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2" fillId="0" borderId="10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33" fillId="0" borderId="10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34" fillId="0" borderId="1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5" fillId="0" borderId="1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6" fillId="0" borderId="10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37" fillId="0" borderId="1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8" fillId="0" borderId="1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9" fillId="0" borderId="10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40" fillId="0" borderId="1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1" fillId="0" borderId="1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2" fillId="0" borderId="10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3" fillId="0" borderId="1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4" fillId="0" borderId="10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45" fillId="0" borderId="10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46" fillId="0" borderId="1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7" fillId="0" borderId="1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8" fillId="0" borderId="10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49" fillId="0" borderId="1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0" fillId="0" borderId="1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1" fillId="0" borderId="10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52" fillId="0" borderId="1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3" fillId="0" borderId="1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4" fillId="0" borderId="10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5" fillId="0" borderId="1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6" fillId="0" borderId="10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57" fillId="0" borderId="10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58" fillId="0" borderId="1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9" fillId="0" borderId="1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0" fillId="0" borderId="10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61" fillId="0" borderId="1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2" fillId="0" borderId="1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3" fillId="0" borderId="10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64" fillId="0" borderId="1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5" fillId="0" borderId="1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6" fillId="0" borderId="10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67" fillId="0" borderId="1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8" fillId="0" borderId="10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69" fillId="0" borderId="10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70" fillId="0" borderId="1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1" fillId="0" borderId="1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2" fillId="0" borderId="10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73" fillId="0" borderId="1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4" fillId="0" borderId="1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5" fillId="0" borderId="10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76" fillId="0" borderId="1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7" fillId="0" borderId="1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8" fillId="0" borderId="10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9" fillId="0" borderId="1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0" fillId="0" borderId="10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81" fillId="0" borderId="10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82" fillId="0" borderId="1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3" fillId="0" borderId="1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4" fillId="0" borderId="10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85" fillId="0" borderId="1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6" fillId="0" borderId="1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7" fillId="0" borderId="10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88" fillId="0" borderId="1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9" fillId="0" borderId="1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0" fillId="0" borderId="10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1" fillId="0" borderId="1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2" fillId="0" borderId="10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93" fillId="0" borderId="10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94" fillId="0" borderId="1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5" fillId="0" borderId="1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6" fillId="0" borderId="10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97" fillId="0" borderId="1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8" fillId="0" borderId="1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9" fillId="0" borderId="10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00" fillId="0" borderId="1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1" fillId="0" borderId="1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2" fillId="0" borderId="1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3" fillId="0" borderId="1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4" fillId="0" borderId="10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05" fillId="0" borderId="10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206" fillId="0" borderId="1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7" fillId="0" borderId="1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8" fillId="0" borderId="10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09" fillId="0" borderId="1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0" fillId="0" borderId="1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1" fillId="0" borderId="10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12" fillId="0" borderId="1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3" fillId="0" borderId="1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4" fillId="0" borderId="10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5" fillId="0" borderId="1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6" fillId="0" borderId="10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17" fillId="0" borderId="10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218" fillId="0" borderId="1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9" fillId="0" borderId="1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0" fillId="0" borderId="10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21" fillId="0" borderId="1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2" fillId="0" borderId="1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3" fillId="0" borderId="1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24" fillId="0" borderId="1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5" fillId="0" borderId="1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6" fillId="0" borderId="1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7" fillId="0" borderId="1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8" fillId="0" borderId="11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29" fillId="0" borderId="11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230" fillId="0" borderId="1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1" fillId="0" borderId="1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2" fillId="0" borderId="1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33" fillId="0" borderId="1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4" fillId="0" borderId="1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5" fillId="0" borderId="1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36" fillId="0" borderId="1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7" fillId="0" borderId="1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8" fillId="0" borderId="1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9" fillId="0" borderId="1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0" fillId="0" borderId="11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41" fillId="36" borderId="1118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42" fillId="37" borderId="1119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43" fillId="38" borderId="1120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244" fillId="0" borderId="1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5" fillId="0" borderId="1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6" fillId="0" borderId="1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47" fillId="39" borderId="1124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48" fillId="40" borderId="1125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49" fillId="0" borderId="1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0" fillId="0" borderId="1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1" fillId="0" borderId="1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52" fillId="41" borderId="1129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53" fillId="42" borderId="1130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54" fillId="0" borderId="1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5" fillId="0" borderId="1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6" fillId="0" borderId="1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57" fillId="43" borderId="1134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58" fillId="44" borderId="1135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59" fillId="0" borderId="1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0" fillId="0" borderId="1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1" fillId="0" borderId="1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2" fillId="0" borderId="1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63" fillId="0" borderId="1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64" fillId="0" borderId="1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5" fillId="0" borderId="1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66" fillId="0" borderId="1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67" fillId="0" borderId="1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8" fillId="0" borderId="1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69" fillId="0" borderId="1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0" fillId="0" borderId="1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1" fillId="0" borderId="11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72" fillId="0" borderId="11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73" fillId="0" borderId="11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74" fillId="0" borderId="1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5" fillId="0" borderId="1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6" fillId="0" borderId="1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7" fillId="0" borderId="1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8" fillId="0" borderId="11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79" fillId="0" borderId="11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280" fillId="0" borderId="1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1" fillId="0" borderId="1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2" fillId="0" borderId="1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83" fillId="0" borderId="1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4" fillId="0" borderId="1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5" fillId="0" borderId="1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86" fillId="0" borderId="1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87" fillId="0" borderId="1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88" fillId="0" borderId="1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9" fillId="0" borderId="1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0" fillId="0" borderId="11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91" fillId="0" borderId="11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292" fillId="0" borderId="1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3" fillId="0" borderId="1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4" fillId="0" borderId="1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95" fillId="0" borderId="1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6" fillId="0" borderId="1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7" fillId="0" borderId="1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98" fillId="0" borderId="1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99" fillId="0" borderId="1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00" fillId="0" borderId="1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1" fillId="0" borderId="1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2" fillId="0" borderId="11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03" fillId="0" borderId="11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04" fillId="0" borderId="1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5" fillId="0" borderId="1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6" fillId="0" borderId="1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07" fillId="0" borderId="1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8" fillId="0" borderId="1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9" fillId="0" borderId="1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10" fillId="0" borderId="1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11" fillId="0" borderId="1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12" fillId="0" borderId="1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3" fillId="0" borderId="1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4" fillId="0" borderId="11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15" fillId="0" borderId="11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16" fillId="0" borderId="1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7" fillId="0" borderId="1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8" fillId="0" borderId="1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19" fillId="0" borderId="1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0" fillId="0" borderId="1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1" fillId="0" borderId="1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22" fillId="0" borderId="1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23" fillId="0" borderId="1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24" fillId="0" borderId="1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5" fillId="0" borderId="1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6" fillId="0" borderId="12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27" fillId="0" borderId="12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28" fillId="0" borderId="1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9" fillId="0" borderId="1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0" fillId="0" borderId="1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31" fillId="0" borderId="1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2" fillId="0" borderId="1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3" fillId="0" borderId="1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34" fillId="0" borderId="1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35" fillId="0" borderId="1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36" fillId="0" borderId="1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7" fillId="0" borderId="1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8" fillId="0" borderId="12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39" fillId="0" borderId="12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40" fillId="0" borderId="1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1" fillId="0" borderId="1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2" fillId="0" borderId="1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43" fillId="0" borderId="1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4" fillId="0" borderId="1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5" fillId="0" borderId="1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46" fillId="0" borderId="1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47" fillId="0" borderId="1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48" fillId="0" borderId="1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9" fillId="0" borderId="1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0" fillId="0" borderId="12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51" fillId="0" borderId="12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52" fillId="0" borderId="1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3" fillId="0" borderId="1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4" fillId="0" borderId="1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55" fillId="0" borderId="1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6" fillId="0" borderId="1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7" fillId="0" borderId="1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58" fillId="0" borderId="1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59" fillId="0" borderId="1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60" fillId="0" borderId="1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1" fillId="0" borderId="1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2" fillId="0" borderId="12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63" fillId="0" borderId="12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64" fillId="0" borderId="1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5" fillId="0" borderId="1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6" fillId="0" borderId="1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67" fillId="0" borderId="1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8" fillId="0" borderId="1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9" fillId="0" borderId="1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70" fillId="0" borderId="1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71" fillId="0" borderId="1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72" fillId="0" borderId="1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3" fillId="0" borderId="1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4" fillId="0" borderId="12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75" fillId="0" borderId="12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76" fillId="0" borderId="1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7" fillId="0" borderId="1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8" fillId="0" borderId="1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79" fillId="0" borderId="1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0" fillId="0" borderId="1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1" fillId="0" borderId="1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82" fillId="0" borderId="1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83" fillId="0" borderId="1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84" fillId="0" borderId="1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5" fillId="0" borderId="1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6" fillId="0" borderId="12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87" fillId="0" borderId="12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88" fillId="0" borderId="1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9" fillId="0" borderId="1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0" fillId="0" borderId="1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91" fillId="0" borderId="1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2" fillId="0" borderId="1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3" fillId="0" borderId="1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94" fillId="0" borderId="1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95" fillId="0" borderId="1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96" fillId="0" borderId="1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97" fillId="0" borderId="1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8" fillId="0" borderId="12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99" fillId="0" borderId="12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400" fillId="0" borderId="1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1" fillId="0" borderId="1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2" fillId="0" borderId="1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03" fillId="0" borderId="1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4" fillId="0" borderId="1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5" fillId="0" borderId="1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06" fillId="0" borderId="1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07" fillId="0" borderId="1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08" fillId="0" borderId="1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9" fillId="0" borderId="1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0" fillId="0" borderId="12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11" fillId="0" borderId="12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412" fillId="0" borderId="1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3" fillId="0" borderId="1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4" fillId="0" borderId="1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15" fillId="0" borderId="1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6" fillId="0" borderId="1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7" fillId="0" borderId="1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18" fillId="0" borderId="1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19" fillId="0" borderId="1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20" fillId="0" borderId="1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1" fillId="0" borderId="1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2" fillId="0" borderId="12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23" fillId="0" borderId="13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424" fillId="0" borderId="1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5" fillId="0" borderId="1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6" fillId="0" borderId="1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27" fillId="0" borderId="1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8" fillId="0" borderId="1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9" fillId="0" borderId="1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30" fillId="0" borderId="1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31" fillId="0" borderId="1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32" fillId="0" borderId="1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3" fillId="0" borderId="1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4" fillId="0" borderId="13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35" fillId="0" borderId="13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436" fillId="0" borderId="1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7" fillId="0" borderId="1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8" fillId="0" borderId="1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39" fillId="0" borderId="1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0" fillId="0" borderId="1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1" fillId="0" borderId="1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42" fillId="0" borderId="1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43" fillId="0" borderId="1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44" fillId="0" borderId="1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45" fillId="0" borderId="1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6" fillId="0" borderId="13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47" fillId="45" borderId="1324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48" fillId="46" borderId="1325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49" fillId="47" borderId="1326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450" fillId="0" borderId="1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1" fillId="0" borderId="1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2" fillId="0" borderId="1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53" fillId="48" borderId="1330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54" fillId="49" borderId="1331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55" fillId="0" borderId="1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6" fillId="0" borderId="1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7" fillId="0" borderId="13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58" fillId="50" borderId="1335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59" fillId="51" borderId="1336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60" fillId="0" borderId="1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61" fillId="0" borderId="1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62" fillId="0" borderId="1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63" fillId="52" borderId="1340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64" fillId="53" borderId="1341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5" fillId="0" borderId="1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6" fillId="0" borderId="1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7" fillId="0" borderId="1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8" fillId="0" borderId="1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9" fillId="0" borderId="1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0" fillId="0" borderId="1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1" fillId="0" borderId="1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2" fillId="0" borderId="1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3" fillId="0" borderId="1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4" fillId="0" borderId="1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5" fillId="0" borderId="13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6" fillId="0" borderId="1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7" fillId="0" borderId="13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78" fillId="0" borderId="13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79" fillId="0" borderId="13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80" fillId="0" borderId="1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1" fillId="0" borderId="1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2" fillId="0" borderId="1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3" fillId="0" borderId="1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4" fillId="0" borderId="13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85" fillId="0" borderId="13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486" fillId="0" borderId="1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7" fillId="0" borderId="1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8" fillId="0" borderId="13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89" fillId="0" borderId="1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0" fillId="0" borderId="1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1" fillId="0" borderId="13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92" fillId="0" borderId="1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93" fillId="0" borderId="1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94" fillId="0" borderId="1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95" fillId="0" borderId="1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6" fillId="0" borderId="13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97" fillId="0" borderId="13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498" fillId="0" borderId="1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9" fillId="0" borderId="1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0" fillId="0" borderId="13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01" fillId="0" borderId="1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2" fillId="0" borderId="1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3" fillId="0" borderId="1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504" fillId="0" borderId="1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05" fillId="0" borderId="1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06" fillId="0" borderId="13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7" fillId="0" borderId="1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8" fillId="0" borderId="13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509" fillId="0" borderId="13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510" fillId="0" borderId="1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1" fillId="0" borderId="1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2" fillId="0" borderId="1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13" fillId="0" borderId="1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4" fillId="0" borderId="1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5" fillId="0" borderId="1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516" fillId="0" borderId="1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17" fillId="0" borderId="1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18" fillId="0" borderId="1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9" fillId="0" borderId="1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0" fillId="0" borderId="13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521" fillId="0" borderId="13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522" fillId="0" borderId="1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3" fillId="0" borderId="1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4" fillId="0" borderId="1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25" fillId="0" borderId="1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6" fillId="0" borderId="1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7" fillId="0" borderId="1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528" fillId="0" borderId="1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29" fillId="0" borderId="1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30" fillId="0" borderId="1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1" fillId="0" borderId="1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2" fillId="0" borderId="14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533" fillId="0" borderId="14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534" fillId="0" borderId="1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5" fillId="0" borderId="1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6" fillId="0" borderId="14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37" fillId="0" borderId="1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8" fillId="0" borderId="1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9" fillId="0" borderId="14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540" fillId="0" borderId="1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41" fillId="0" borderId="1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42" fillId="0" borderId="1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43" fillId="0" borderId="1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4" fillId="0" borderId="14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545" fillId="0" borderId="14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546" fillId="0" borderId="1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7" fillId="0" borderId="1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8" fillId="0" borderId="1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49" fillId="0" borderId="1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50" fillId="0" borderId="1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51" fillId="0" borderId="14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552" fillId="0" borderId="1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53" fillId="0" borderId="1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54" fillId="0" borderId="1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55" fillId="0" borderId="1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6" fillId="0" borderId="14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557" fillId="0" borderId="14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558" fillId="0" borderId="1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59" fillId="0" borderId="1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60" fillId="0" borderId="1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61" fillId="0" borderId="1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62" fillId="0" borderId="1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63" fillId="0" borderId="1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564" fillId="0" borderId="1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65" fillId="0" borderId="1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66" fillId="0" borderId="14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7" fillId="0" borderId="1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8" fillId="0" borderId="14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569" fillId="0" borderId="14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570" fillId="0" borderId="1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71" fillId="0" borderId="1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72" fillId="0" borderId="1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73" fillId="0" borderId="1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74" fillId="0" borderId="1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75" fillId="0" borderId="1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576" fillId="0" borderId="1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77" fillId="0" borderId="1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78" fillId="0" borderId="1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9" fillId="0" borderId="1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0" fillId="0" borderId="14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581" fillId="0" borderId="14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582" fillId="0" borderId="1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3" fillId="0" borderId="1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4" fillId="0" borderId="1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85" fillId="0" borderId="1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6" fillId="0" borderId="1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7" fillId="0" borderId="1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588" fillId="0" borderId="1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89" fillId="0" borderId="1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90" fillId="0" borderId="14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1" fillId="0" borderId="1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2" fillId="0" borderId="14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593" fillId="0" borderId="14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594" fillId="0" borderId="1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5" fillId="0" borderId="1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6" fillId="0" borderId="1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97" fillId="0" borderId="1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8" fillId="0" borderId="1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9" fillId="0" borderId="14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600" fillId="0" borderId="1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01" fillId="0" borderId="1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02" fillId="0" borderId="1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3" fillId="0" borderId="1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4" fillId="0" borderId="14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05" fillId="0" borderId="14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606" fillId="0" borderId="1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7" fillId="0" borderId="1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8" fillId="0" borderId="1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09" fillId="0" borderId="1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0" fillId="0" borderId="1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1" fillId="0" borderId="1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612" fillId="0" borderId="1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13" fillId="0" borderId="1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14" fillId="0" borderId="1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5" fillId="0" borderId="1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6" fillId="0" borderId="14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17" fillId="0" borderId="14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618" fillId="0" borderId="1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9" fillId="0" borderId="1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0" fillId="0" borderId="14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21" fillId="0" borderId="1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2" fillId="0" borderId="1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3" fillId="0" borderId="1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624" fillId="0" borderId="1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25" fillId="0" borderId="1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26" fillId="0" borderId="1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27" fillId="0" borderId="1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8" fillId="0" borderId="15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29" fillId="0" borderId="15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630" fillId="0" borderId="1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1" fillId="0" borderId="1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2" fillId="0" borderId="1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33" fillId="0" borderId="1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4" fillId="0" borderId="1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5" fillId="0" borderId="15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636" fillId="0" borderId="1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37" fillId="0" borderId="1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38" fillId="0" borderId="1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9" fillId="0" borderId="1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0" fillId="0" borderId="15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41" fillId="0" borderId="15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642" fillId="0" borderId="1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3" fillId="0" borderId="1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4" fillId="0" borderId="1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45" fillId="0" borderId="1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6" fillId="0" borderId="1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7" fillId="0" borderId="1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648" fillId="0" borderId="1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49" fillId="0" borderId="1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50" fillId="0" borderId="1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1" fillId="0" borderId="1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2" fillId="0" borderId="15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53" fillId="54" borderId="1530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54" fillId="55" borderId="1531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55" fillId="56" borderId="1532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656" fillId="0" borderId="1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7" fillId="0" borderId="1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8" fillId="0" borderId="1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59" fillId="57" borderId="1536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60" fillId="58" borderId="1537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61" fillId="0" borderId="1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2" fillId="0" borderId="1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3" fillId="0" borderId="1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64" fillId="59" borderId="1541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65" fillId="60" borderId="1542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666" fillId="0" borderId="1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67" fillId="0" borderId="1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68" fillId="0" borderId="15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669" fillId="61" borderId="1546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670" fillId="62" borderId="1547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1" fillId="0" borderId="1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2" fillId="0" borderId="1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3" fillId="0" borderId="1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4" fillId="0" borderId="1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5" fillId="0" borderId="1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6" fillId="0" borderId="1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7" fillId="0" borderId="15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8" fillId="0" borderId="1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9" fillId="0" borderId="1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0" fillId="0" borderId="15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1" fillId="0" borderId="15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2" fillId="0" borderId="1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3" fillId="0" borderId="15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84" fillId="0" borderId="15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85" fillId="0" borderId="15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86" fillId="0" borderId="1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7" fillId="0" borderId="1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8" fillId="0" borderId="1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9" fillId="0" borderId="1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0" fillId="0" borderId="15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91" fillId="0" borderId="15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692" fillId="0" borderId="1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3" fillId="0" borderId="1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4" fillId="0" borderId="1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95" fillId="0" borderId="1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6" fillId="0" borderId="1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7" fillId="0" borderId="1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698" fillId="0" borderId="1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99" fillId="0" borderId="1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00" fillId="0" borderId="1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01" fillId="0" borderId="1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2" fillId="0" borderId="15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03" fillId="0" borderId="15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704" fillId="0" borderId="1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5" fillId="0" borderId="1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6" fillId="0" borderId="1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07" fillId="0" borderId="1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8" fillId="0" borderId="1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9" fillId="0" borderId="15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710" fillId="0" borderId="1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11" fillId="0" borderId="1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12" fillId="0" borderId="1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13" fillId="0" borderId="1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4" fillId="0" borderId="15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15" fillId="0" borderId="15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716" fillId="0" borderId="1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7" fillId="0" borderId="1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8" fillId="0" borderId="1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19" fillId="0" borderId="1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0" fillId="0" borderId="1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1" fillId="0" borderId="15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722" fillId="0" borderId="1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23" fillId="0" borderId="1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24" fillId="0" borderId="1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5" fillId="0" borderId="1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6" fillId="0" borderId="16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27" fillId="0" borderId="16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728" fillId="0" borderId="1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9" fillId="0" borderId="1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0" fillId="0" borderId="16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31" fillId="0" borderId="1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2" fillId="0" borderId="1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3" fillId="0" borderId="16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734" fillId="0" borderId="1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35" fillId="0" borderId="1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36" fillId="0" borderId="1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7" fillId="0" borderId="1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8" fillId="0" borderId="16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39" fillId="0" borderId="16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740" fillId="0" borderId="1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1" fillId="0" borderId="1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2" fillId="0" borderId="1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43" fillId="0" borderId="1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4" fillId="0" borderId="1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5" fillId="0" borderId="16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746" fillId="0" borderId="1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47" fillId="0" borderId="1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48" fillId="0" borderId="1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9" fillId="0" borderId="1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0" fillId="0" borderId="16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51" fillId="0" borderId="16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752" fillId="0" borderId="1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3" fillId="0" borderId="1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4" fillId="0" borderId="16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55" fillId="0" borderId="1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6" fillId="0" borderId="1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7" fillId="0" borderId="1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758" fillId="0" borderId="1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59" fillId="0" borderId="1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60" fillId="0" borderId="1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1" fillId="0" borderId="1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2" fillId="0" borderId="16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63" fillId="0" borderId="16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764" fillId="0" borderId="1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5" fillId="0" borderId="1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6" fillId="0" borderId="1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67" fillId="0" borderId="1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8" fillId="0" borderId="1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9" fillId="0" borderId="1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770" fillId="0" borderId="1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71" fillId="0" borderId="1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72" fillId="0" borderId="1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73" fillId="0" borderId="1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4" fillId="0" borderId="16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75" fillId="0" borderId="16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776" fillId="0" borderId="1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7" fillId="0" borderId="1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8" fillId="0" borderId="16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79" fillId="0" borderId="1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0" fillId="0" borderId="1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1" fillId="0" borderId="1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782" fillId="0" borderId="1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83" fillId="0" borderId="1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84" fillId="0" borderId="1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85" fillId="0" borderId="1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6" fillId="0" borderId="16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87" fillId="0" borderId="16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788" fillId="0" borderId="1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9" fillId="0" borderId="1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0" fillId="0" borderId="1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91" fillId="0" borderId="1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2" fillId="0" borderId="1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3" fillId="0" borderId="1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794" fillId="0" borderId="1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95" fillId="0" borderId="1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96" fillId="0" borderId="16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7" fillId="0" borderId="1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8" fillId="0" borderId="16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99" fillId="0" borderId="16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800" fillId="0" borderId="1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1" fillId="0" borderId="1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2" fillId="0" borderId="16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03" fillId="0" borderId="1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4" fillId="0" borderId="1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5" fillId="0" borderId="16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806" fillId="0" borderId="1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07" fillId="0" borderId="1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08" fillId="0" borderId="16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9" fillId="0" borderId="1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0" fillId="0" borderId="16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11" fillId="0" borderId="16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812" fillId="0" borderId="1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3" fillId="0" borderId="1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4" fillId="0" borderId="1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15" fillId="0" borderId="1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6" fillId="0" borderId="1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7" fillId="0" borderId="1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818" fillId="0" borderId="1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19" fillId="0" borderId="1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20" fillId="0" borderId="16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1" fillId="0" borderId="1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2" fillId="0" borderId="16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23" fillId="0" borderId="17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824" fillId="0" borderId="1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5" fillId="0" borderId="1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6" fillId="0" borderId="17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27" fillId="0" borderId="1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8" fillId="0" borderId="1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9" fillId="0" borderId="17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830" fillId="0" borderId="1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31" fillId="0" borderId="1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32" fillId="0" borderId="1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3" fillId="0" borderId="1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4" fillId="0" borderId="17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35" fillId="0" borderId="17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836" fillId="0" borderId="1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7" fillId="0" borderId="1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8" fillId="0" borderId="1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39" fillId="0" borderId="1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0" fillId="0" borderId="1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1" fillId="0" borderId="17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842" fillId="0" borderId="1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43" fillId="0" borderId="1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44" fillId="0" borderId="1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5" fillId="0" borderId="1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6" fillId="0" borderId="17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47" fillId="0" borderId="17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848" fillId="0" borderId="1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9" fillId="0" borderId="1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0" fillId="0" borderId="1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51" fillId="0" borderId="1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2" fillId="0" borderId="1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3" fillId="0" borderId="17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854" fillId="0" borderId="1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55" fillId="0" borderId="1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56" fillId="0" borderId="1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57" fillId="0" borderId="1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8" fillId="0" borderId="17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59" fillId="63" borderId="1736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60" fillId="64" borderId="1737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61" fillId="65" borderId="1738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862" fillId="0" borderId="1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3" fillId="0" borderId="1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4" fillId="0" borderId="1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65" fillId="66" borderId="1742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66" fillId="67" borderId="1743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67" fillId="0" borderId="1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8" fillId="0" borderId="1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9" fillId="0" borderId="17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70" fillId="68" borderId="1747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71" fillId="69" borderId="1748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872" fillId="0" borderId="1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73" fillId="0" borderId="1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74" fillId="0" borderId="17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875" fillId="70" borderId="1752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876" fillId="71" borderId="1753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77" fillId="0" borderId="1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8" fillId="0" borderId="1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9" fillId="0" borderId="1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0" fillId="0" borderId="17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81" fillId="0" borderId="17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82" fillId="0" borderId="1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3" fillId="0" borderId="1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84" fillId="0" borderId="1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85" fillId="0" borderId="1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6" fillId="0" borderId="17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87" fillId="0" borderId="1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88" fillId="0" borderId="1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9" fillId="0" borderId="17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90" fillId="0" borderId="17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91" fillId="0" borderId="17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92" fillId="0" borderId="1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3" fillId="0" borderId="1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4" fillId="0" borderId="1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5" fillId="0" borderId="1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6" fillId="0" borderId="17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97" fillId="0" borderId="17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898" fillId="0" borderId="1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9" fillId="0" borderId="1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0" fillId="0" borderId="17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01" fillId="0" borderId="1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2" fillId="0" borderId="1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3" fillId="0" borderId="1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904" fillId="0" borderId="1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05" fillId="0" borderId="1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06" fillId="0" borderId="1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07" fillId="0" borderId="1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8" fillId="0" borderId="17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09" fillId="0" borderId="17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910" fillId="0" borderId="1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1" fillId="0" borderId="1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2" fillId="0" borderId="1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13" fillId="0" borderId="1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4" fillId="0" borderId="1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5" fillId="0" borderId="17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916" fillId="0" borderId="1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17" fillId="0" borderId="1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18" fillId="0" borderId="17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19" fillId="0" borderId="1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0" fillId="0" borderId="17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21" fillId="0" borderId="17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922" fillId="0" borderId="1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3" fillId="0" borderId="1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4" fillId="0" borderId="1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25" fillId="0" borderId="1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6" fillId="0" borderId="1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7" fillId="0" borderId="1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928" fillId="0" borderId="1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29" fillId="0" borderId="1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30" fillId="0" borderId="1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31" fillId="0" borderId="1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2" fillId="0" borderId="18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33" fillId="0" borderId="18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934" fillId="0" borderId="1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5" fillId="0" borderId="1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6" fillId="0" borderId="1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37" fillId="0" borderId="1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8" fillId="0" borderId="1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9" fillId="0" borderId="1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940" fillId="0" borderId="1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41" fillId="0" borderId="1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42" fillId="0" borderId="1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3" fillId="0" borderId="1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4" fillId="0" borderId="18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45" fillId="0" borderId="18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946" fillId="0" borderId="1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7" fillId="0" borderId="1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8" fillId="0" borderId="1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49" fillId="0" borderId="1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0" fillId="0" borderId="1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1" fillId="0" borderId="18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952" fillId="0" borderId="1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53" fillId="0" borderId="1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54" fillId="0" borderId="1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55" fillId="0" borderId="1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6" fillId="0" borderId="18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57" fillId="0" borderId="18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958" fillId="0" borderId="1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9" fillId="0" borderId="1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0" fillId="0" borderId="1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61" fillId="0" borderId="1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2" fillId="0" borderId="1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3" fillId="0" borderId="18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964" fillId="0" borderId="1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65" fillId="0" borderId="1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66" fillId="0" borderId="1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67" fillId="0" borderId="1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8" fillId="0" borderId="18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69" fillId="0" borderId="18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970" fillId="0" borderId="1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1" fillId="0" borderId="1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2" fillId="0" borderId="1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73" fillId="0" borderId="1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4" fillId="0" borderId="1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5" fillId="0" borderId="18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976" fillId="0" borderId="1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77" fillId="0" borderId="1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78" fillId="0" borderId="1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79" fillId="0" borderId="1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0" fillId="0" borderId="18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81" fillId="0" borderId="18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982" fillId="0" borderId="1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3" fillId="0" borderId="1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4" fillId="0" borderId="1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85" fillId="0" borderId="1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6" fillId="0" borderId="1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7" fillId="0" borderId="1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988" fillId="0" borderId="1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89" fillId="0" borderId="1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90" fillId="0" borderId="1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91" fillId="0" borderId="1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2" fillId="0" borderId="18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93" fillId="0" borderId="18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994" fillId="0" borderId="1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5" fillId="0" borderId="1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6" fillId="0" borderId="1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97" fillId="0" borderId="1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8" fillId="0" borderId="1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9" fillId="0" borderId="1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000" fillId="0" borderId="1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01" fillId="0" borderId="1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02" fillId="0" borderId="1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03" fillId="0" borderId="1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4" fillId="0" borderId="18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05" fillId="0" borderId="18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006" fillId="0" borderId="1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7" fillId="0" borderId="1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8" fillId="0" borderId="1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09" fillId="0" borderId="1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0" fillId="0" borderId="1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1" fillId="0" borderId="1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012" fillId="0" borderId="1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13" fillId="0" borderId="1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14" fillId="0" borderId="1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15" fillId="0" borderId="1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6" fillId="0" borderId="18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17" fillId="0" borderId="18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018" fillId="0" borderId="1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9" fillId="0" borderId="1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0" fillId="0" borderId="1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21" fillId="0" borderId="1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2" fillId="0" borderId="1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3" fillId="0" borderId="1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024" fillId="0" borderId="1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25" fillId="0" borderId="1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26" fillId="0" borderId="1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27" fillId="0" borderId="1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8" fillId="0" borderId="19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29" fillId="0" borderId="19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030" fillId="0" borderId="1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1" fillId="0" borderId="1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2" fillId="0" borderId="1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33" fillId="0" borderId="1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4" fillId="0" borderId="1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5" fillId="0" borderId="1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036" fillId="0" borderId="1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37" fillId="0" borderId="1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38" fillId="0" borderId="1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39" fillId="0" borderId="1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0" fillId="0" borderId="19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41" fillId="0" borderId="19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042" fillId="0" borderId="1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3" fillId="0" borderId="1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4" fillId="0" borderId="1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45" fillId="0" borderId="1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6" fillId="0" borderId="1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7" fillId="0" borderId="1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048" fillId="0" borderId="1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49" fillId="0" borderId="1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50" fillId="0" borderId="19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51" fillId="0" borderId="1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2" fillId="0" borderId="19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53" fillId="0" borderId="19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054" fillId="0" borderId="1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5" fillId="0" borderId="1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6" fillId="0" borderId="1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57" fillId="0" borderId="1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8" fillId="0" borderId="1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9" fillId="0" borderId="1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060" fillId="0" borderId="1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61" fillId="0" borderId="1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62" fillId="0" borderId="1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63" fillId="0" borderId="1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4" fillId="0" borderId="19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65" fillId="72" borderId="1942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66" fillId="73" borderId="1943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67" fillId="74" borderId="1944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068" fillId="0" borderId="1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9" fillId="0" borderId="1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0" fillId="0" borderId="19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71" fillId="75" borderId="1948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72" fillId="76" borderId="1949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73" fillId="0" borderId="1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4" fillId="0" borderId="1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5" fillId="0" borderId="19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76" fillId="77" borderId="1953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77" fillId="78" borderId="1954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078" fillId="0" borderId="1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79" fillId="0" borderId="1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80" fillId="0" borderId="19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081" fillId="79" borderId="1958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082" fillId="80" borderId="1959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83" fillId="0" borderId="1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4" fillId="0" borderId="1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5" fillId="0" borderId="1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6" fillId="0" borderId="1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87" fillId="0" borderId="19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88" fillId="0" borderId="1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9" fillId="0" borderId="1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90" fillId="0" borderId="19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91" fillId="0" borderId="1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2" fillId="0" borderId="1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93" fillId="0" borderId="19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94" fillId="0" borderId="1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5" fillId="0" borderId="19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96" fillId="0" borderId="19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97" fillId="0" borderId="19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98" fillId="0" borderId="1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9" fillId="0" borderId="1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0" fillId="0" borderId="1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1" fillId="0" borderId="1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2" fillId="0" borderId="19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03" fillId="0" borderId="19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104" fillId="0" borderId="1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5" fillId="0" borderId="1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6" fillId="0" borderId="19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07" fillId="0" borderId="1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8" fillId="0" borderId="1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9" fillId="0" borderId="19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110" fillId="0" borderId="1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11" fillId="0" borderId="1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12" fillId="0" borderId="19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13" fillId="0" borderId="1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4" fillId="0" borderId="19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15" fillId="0" borderId="19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116" fillId="0" borderId="1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7" fillId="0" borderId="1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8" fillId="0" borderId="19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19" fillId="0" borderId="1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0" fillId="0" borderId="1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1" fillId="0" borderId="19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122" fillId="0" borderId="1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23" fillId="0" borderId="2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24" fillId="0" borderId="20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25" fillId="0" borderId="2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6" fillId="0" borderId="20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27" fillId="0" borderId="20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128" fillId="0" borderId="2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9" fillId="0" borderId="2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0" fillId="0" borderId="20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31" fillId="0" borderId="2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2" fillId="0" borderId="2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3" fillId="0" borderId="20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134" fillId="0" borderId="2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35" fillId="0" borderId="2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36" fillId="0" borderId="20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37" fillId="0" borderId="2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8" fillId="0" borderId="20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39" fillId="0" borderId="20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140" fillId="0" borderId="2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1" fillId="0" borderId="2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2" fillId="0" borderId="20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43" fillId="0" borderId="2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4" fillId="0" borderId="2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5" fillId="0" borderId="20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146" fillId="0" borderId="2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47" fillId="0" borderId="2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48" fillId="0" borderId="20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49" fillId="0" borderId="2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0" fillId="0" borderId="20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51" fillId="0" borderId="20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152" fillId="0" borderId="2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3" fillId="0" borderId="2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4" fillId="0" borderId="20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55" fillId="0" borderId="2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6" fillId="0" borderId="2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7" fillId="0" borderId="20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158" fillId="0" borderId="2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59" fillId="0" borderId="2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60" fillId="0" borderId="20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61" fillId="0" borderId="2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2" fillId="0" borderId="20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63" fillId="0" borderId="20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164" fillId="0" borderId="2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65" fillId="0" borderId="2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66" fillId="0" borderId="20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67" fillId="0" borderId="2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68" fillId="0" borderId="2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69" fillId="0" borderId="20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170" fillId="0" borderId="2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71" fillId="0" borderId="2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72" fillId="0" borderId="20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73" fillId="0" borderId="2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4" fillId="0" borderId="20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75" fillId="0" borderId="20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176" fillId="0" borderId="2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77" fillId="0" borderId="2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78" fillId="0" borderId="20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79" fillId="0" borderId="2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0" fillId="0" borderId="2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1" fillId="0" borderId="20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182" fillId="0" borderId="2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83" fillId="0" borderId="2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84" fillId="0" borderId="20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5" fillId="0" borderId="2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6" fillId="0" borderId="20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87" fillId="0" borderId="20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188" fillId="0" borderId="2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9" fillId="0" borderId="2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90" fillId="0" borderId="20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91" fillId="0" borderId="2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92" fillId="0" borderId="2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93" fillId="0" borderId="20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194" fillId="0" borderId="2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95" fillId="0" borderId="2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96" fillId="0" borderId="20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7" fillId="0" borderId="2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8" fillId="0" borderId="20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99" fillId="0" borderId="20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200" fillId="0" borderId="2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1" fillId="0" borderId="2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2" fillId="0" borderId="2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03" fillId="0" borderId="2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4" fillId="0" borderId="2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5" fillId="0" borderId="20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06" fillId="0" borderId="2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07" fillId="0" borderId="2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08" fillId="0" borderId="20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09" fillId="0" borderId="2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0" fillId="0" borderId="20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11" fillId="0" borderId="20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212" fillId="0" borderId="2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3" fillId="0" borderId="2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4" fillId="0" borderId="20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15" fillId="0" borderId="2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6" fillId="0" borderId="2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7" fillId="0" borderId="20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18" fillId="0" borderId="2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19" fillId="0" borderId="2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20" fillId="0" borderId="20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1" fillId="0" borderId="2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2" fillId="0" borderId="20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23" fillId="0" borderId="21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224" fillId="0" borderId="2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5" fillId="0" borderId="2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6" fillId="0" borderId="2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27" fillId="0" borderId="2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8" fillId="0" borderId="2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9" fillId="0" borderId="2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30" fillId="0" borderId="2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31" fillId="0" borderId="2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32" fillId="0" borderId="2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3" fillId="0" borderId="2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4" fillId="0" borderId="21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35" fillId="0" borderId="21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236" fillId="0" borderId="2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7" fillId="0" borderId="2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8" fillId="0" borderId="2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39" fillId="0" borderId="2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0" fillId="0" borderId="2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1" fillId="0" borderId="2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42" fillId="0" borderId="2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43" fillId="0" borderId="2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44" fillId="0" borderId="2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5" fillId="0" borderId="2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6" fillId="0" borderId="21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47" fillId="0" borderId="21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248" fillId="0" borderId="2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9" fillId="0" borderId="2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50" fillId="0" borderId="2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51" fillId="0" borderId="2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52" fillId="0" borderId="2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53" fillId="0" borderId="2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54" fillId="0" borderId="2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55" fillId="0" borderId="2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56" fillId="0" borderId="2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7" fillId="0" borderId="2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8" fillId="0" borderId="21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59" fillId="0" borderId="21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260" fillId="0" borderId="2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61" fillId="0" borderId="2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62" fillId="0" borderId="2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63" fillId="0" borderId="2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64" fillId="0" borderId="2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65" fillId="0" borderId="2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66" fillId="0" borderId="2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67" fillId="0" borderId="2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68" fillId="0" borderId="2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69" fillId="0" borderId="2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0" fillId="0" borderId="21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71" fillId="81" borderId="2148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72" fillId="82" borderId="2149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73" fillId="83" borderId="2150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274" fillId="0" borderId="2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5" fillId="0" borderId="2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6" fillId="0" borderId="2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77" fillId="84" borderId="2154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78" fillId="85" borderId="2155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79" fillId="0" borderId="2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0" fillId="0" borderId="2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1" fillId="0" borderId="2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82" fillId="86" borderId="2159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83" fillId="87" borderId="2160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84" fillId="0" borderId="2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85" fillId="0" borderId="2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86" fillId="0" borderId="2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87" fillId="88" borderId="2164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88" fillId="89" borderId="2165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9" fillId="0" borderId="2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0" fillId="0" borderId="2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1" fillId="0" borderId="2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2" fillId="0" borderId="2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3" fillId="0" borderId="2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4" fillId="0" borderId="2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5" fillId="0" borderId="2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6" fillId="0" borderId="2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7" fillId="0" borderId="2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8" fillId="0" borderId="2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9" fillId="0" borderId="2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0" fillId="0" borderId="2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1" fillId="0" borderId="21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02" fillId="0" borderId="21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03" fillId="0" borderId="21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04" fillId="0" borderId="2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5" fillId="0" borderId="2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6" fillId="0" borderId="2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7" fillId="0" borderId="2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8" fillId="0" borderId="21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09" fillId="0" borderId="21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310" fillId="0" borderId="2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1" fillId="0" borderId="2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2" fillId="0" borderId="2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13" fillId="0" borderId="2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4" fillId="0" borderId="2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5" fillId="0" borderId="2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16" fillId="0" borderId="2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17" fillId="0" borderId="2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18" fillId="0" borderId="2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9" fillId="0" borderId="2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0" fillId="0" borderId="21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21" fillId="0" borderId="21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322" fillId="0" borderId="2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3" fillId="0" borderId="2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4" fillId="0" borderId="2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25" fillId="0" borderId="2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6" fillId="0" borderId="2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7" fillId="0" borderId="2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28" fillId="0" borderId="2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29" fillId="0" borderId="2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30" fillId="0" borderId="2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31" fillId="0" borderId="2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2" fillId="0" borderId="22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33" fillId="0" borderId="22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334" fillId="0" borderId="2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35" fillId="0" borderId="2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36" fillId="0" borderId="2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37" fillId="0" borderId="2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38" fillId="0" borderId="2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39" fillId="0" borderId="2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40" fillId="0" borderId="2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41" fillId="0" borderId="2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42" fillId="0" borderId="2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43" fillId="0" borderId="2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4" fillId="0" borderId="22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45" fillId="0" borderId="22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346" fillId="0" borderId="2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47" fillId="0" borderId="2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48" fillId="0" borderId="2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49" fillId="0" borderId="2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50" fillId="0" borderId="2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51" fillId="0" borderId="2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52" fillId="0" borderId="2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53" fillId="0" borderId="2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54" fillId="0" borderId="2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5" fillId="0" borderId="2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6" fillId="0" borderId="22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57" fillId="0" borderId="22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358" fillId="0" borderId="2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59" fillId="0" borderId="2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60" fillId="0" borderId="2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61" fillId="0" borderId="2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62" fillId="0" borderId="2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63" fillId="0" borderId="2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64" fillId="0" borderId="2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65" fillId="0" borderId="2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66" fillId="0" borderId="2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7" fillId="0" borderId="2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8" fillId="0" borderId="22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69" fillId="0" borderId="22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370" fillId="0" borderId="2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71" fillId="0" borderId="2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72" fillId="0" borderId="2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73" fillId="0" borderId="2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74" fillId="0" borderId="2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75" fillId="0" borderId="2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76" fillId="0" borderId="2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77" fillId="0" borderId="2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78" fillId="0" borderId="2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79" fillId="0" borderId="2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0" fillId="0" borderId="22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81" fillId="0" borderId="22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382" fillId="0" borderId="2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3" fillId="0" borderId="2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4" fillId="0" borderId="2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85" fillId="0" borderId="2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6" fillId="0" borderId="2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7" fillId="0" borderId="2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88" fillId="0" borderId="2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89" fillId="0" borderId="2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90" fillId="0" borderId="2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91" fillId="0" borderId="2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2" fillId="0" borderId="22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93" fillId="0" borderId="22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394" fillId="0" borderId="2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95" fillId="0" borderId="2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96" fillId="0" borderId="2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97" fillId="0" borderId="2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98" fillId="0" borderId="2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99" fillId="0" borderId="2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00" fillId="0" borderId="2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01" fillId="0" borderId="2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02" fillId="0" borderId="2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03" fillId="0" borderId="2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4" fillId="0" borderId="22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405" fillId="0" borderId="22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406" fillId="0" borderId="2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7" fillId="0" borderId="2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8" fillId="0" borderId="2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09" fillId="0" borderId="2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0" fillId="0" borderId="2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1" fillId="0" borderId="2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12" fillId="0" borderId="2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13" fillId="0" borderId="2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14" fillId="0" borderId="2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15" fillId="0" borderId="2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6" fillId="0" borderId="22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417" fillId="0" borderId="22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418" fillId="0" borderId="2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9" fillId="0" borderId="2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20" fillId="0" borderId="2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21" fillId="0" borderId="2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22" fillId="0" borderId="2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23" fillId="0" borderId="23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24" fillId="0" borderId="2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25" fillId="0" borderId="2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26" fillId="0" borderId="2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27" fillId="0" borderId="2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8" fillId="0" borderId="23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429" fillId="0" borderId="23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430" fillId="0" borderId="2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1" fillId="0" borderId="2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2" fillId="0" borderId="2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33" fillId="0" borderId="2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4" fillId="0" borderId="2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5" fillId="0" borderId="2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36" fillId="0" borderId="2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37" fillId="0" borderId="2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38" fillId="0" borderId="2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39" fillId="0" borderId="2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0" fillId="0" borderId="23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441" fillId="0" borderId="23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442" fillId="0" borderId="2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43" fillId="0" borderId="2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44" fillId="0" borderId="2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45" fillId="0" borderId="2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46" fillId="0" borderId="2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47" fillId="0" borderId="2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48" fillId="0" borderId="2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49" fillId="0" borderId="2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50" fillId="0" borderId="2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51" fillId="0" borderId="2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2" fillId="0" borderId="23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453" fillId="0" borderId="23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454" fillId="0" borderId="2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55" fillId="0" borderId="2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56" fillId="0" borderId="2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57" fillId="0" borderId="2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58" fillId="0" borderId="2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59" fillId="0" borderId="2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60" fillId="0" borderId="2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61" fillId="0" borderId="2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62" fillId="0" borderId="2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63" fillId="0" borderId="2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4" fillId="0" borderId="23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465" fillId="0" borderId="23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466" fillId="0" borderId="2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7" fillId="0" borderId="2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8" fillId="0" borderId="2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69" fillId="0" borderId="2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0" fillId="0" borderId="2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1" fillId="0" borderId="2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72" fillId="0" borderId="2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73" fillId="0" borderId="2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74" fillId="0" borderId="2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75" fillId="0" borderId="2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6" fillId="0" borderId="23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477" fillId="90" borderId="2354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478" fillId="91" borderId="2355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479" fillId="92" borderId="2356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480" fillId="0" borderId="2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81" fillId="0" borderId="2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82" fillId="0" borderId="2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83" fillId="93" borderId="2360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84" fillId="94" borderId="2361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85" fillId="0" borderId="2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86" fillId="0" borderId="2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87" fillId="0" borderId="2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88" fillId="95" borderId="2365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89" fillId="96" borderId="2366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90" fillId="0" borderId="2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91" fillId="0" borderId="2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92" fillId="0" borderId="2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93" fillId="97" borderId="2370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94" fillId="98" borderId="2371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95" fillId="0" borderId="2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6" fillId="0" borderId="2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7" fillId="0" borderId="2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8" fillId="0" borderId="2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99" fillId="0" borderId="23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00" fillId="0" borderId="2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1" fillId="0" borderId="2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02" fillId="0" borderId="2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03" fillId="0" borderId="2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4" fillId="0" borderId="2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05" fillId="0" borderId="23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06" fillId="0" borderId="2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7" fillId="0" borderId="23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08" fillId="0" borderId="23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09" fillId="0" borderId="23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10" fillId="0" borderId="2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1" fillId="0" borderId="2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2" fillId="0" borderId="2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3" fillId="0" borderId="2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4" fillId="0" borderId="23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15" fillId="0" borderId="23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516" fillId="0" borderId="2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7" fillId="0" borderId="2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8" fillId="0" borderId="2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19" fillId="0" borderId="2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0" fillId="0" borderId="2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1" fillId="0" borderId="23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22" fillId="0" borderId="2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23" fillId="0" borderId="2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24" fillId="0" borderId="2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25" fillId="0" borderId="2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6" fillId="0" borderId="24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27" fillId="0" borderId="24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528" fillId="0" borderId="2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9" fillId="0" borderId="2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30" fillId="0" borderId="2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31" fillId="0" borderId="2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32" fillId="0" borderId="2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33" fillId="0" borderId="2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34" fillId="0" borderId="2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35" fillId="0" borderId="2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36" fillId="0" borderId="24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37" fillId="0" borderId="2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8" fillId="0" borderId="24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39" fillId="0" borderId="24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540" fillId="0" borderId="2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41" fillId="0" borderId="2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42" fillId="0" borderId="2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43" fillId="0" borderId="2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44" fillId="0" borderId="2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45" fillId="0" borderId="24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46" fillId="0" borderId="2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47" fillId="0" borderId="2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48" fillId="0" borderId="2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49" fillId="0" borderId="2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0" fillId="0" borderId="24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51" fillId="0" borderId="24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552" fillId="0" borderId="2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53" fillId="0" borderId="2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54" fillId="0" borderId="2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55" fillId="0" borderId="2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56" fillId="0" borderId="2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57" fillId="0" borderId="24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58" fillId="0" borderId="2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59" fillId="0" borderId="2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60" fillId="0" borderId="2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61" fillId="0" borderId="2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2" fillId="0" borderId="24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63" fillId="0" borderId="24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564" fillId="0" borderId="2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65" fillId="0" borderId="2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66" fillId="0" borderId="24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67" fillId="0" borderId="2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68" fillId="0" borderId="2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69" fillId="0" borderId="24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70" fillId="0" borderId="2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71" fillId="0" borderId="2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72" fillId="0" borderId="2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73" fillId="0" borderId="2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4" fillId="0" borderId="24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75" fillId="0" borderId="24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576" fillId="0" borderId="2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77" fillId="0" borderId="2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78" fillId="0" borderId="2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79" fillId="0" borderId="2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80" fillId="0" borderId="2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81" fillId="0" borderId="24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82" fillId="0" borderId="2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83" fillId="0" borderId="2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84" fillId="0" borderId="2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5" fillId="0" borderId="2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6" fillId="0" borderId="24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87" fillId="0" borderId="24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588" fillId="0" borderId="2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89" fillId="0" borderId="2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90" fillId="0" borderId="24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91" fillId="0" borderId="2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92" fillId="0" borderId="2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93" fillId="0" borderId="2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94" fillId="0" borderId="2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95" fillId="0" borderId="2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96" fillId="0" borderId="2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7" fillId="0" borderId="2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8" fillId="0" borderId="24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99" fillId="0" borderId="24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600" fillId="0" borderId="2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01" fillId="0" borderId="2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02" fillId="0" borderId="2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03" fillId="0" borderId="2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04" fillId="0" borderId="2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05" fillId="0" borderId="2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06" fillId="0" borderId="2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07" fillId="0" borderId="2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08" fillId="0" borderId="2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09" fillId="0" borderId="2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0" fillId="0" borderId="24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11" fillId="0" borderId="24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612" fillId="0" borderId="2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13" fillId="0" borderId="2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14" fillId="0" borderId="2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15" fillId="0" borderId="2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16" fillId="0" borderId="2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17" fillId="0" borderId="2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18" fillId="0" borderId="2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19" fillId="0" borderId="2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20" fillId="0" borderId="24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21" fillId="0" borderId="2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2" fillId="0" borderId="24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23" fillId="0" borderId="25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624" fillId="0" borderId="2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25" fillId="0" borderId="2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26" fillId="0" borderId="2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27" fillId="0" borderId="2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28" fillId="0" borderId="2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29" fillId="0" borderId="2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30" fillId="0" borderId="2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31" fillId="0" borderId="2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32" fillId="0" borderId="2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33" fillId="0" borderId="2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4" fillId="0" borderId="25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35" fillId="0" borderId="25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636" fillId="0" borderId="2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37" fillId="0" borderId="2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38" fillId="0" borderId="2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39" fillId="0" borderId="2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0" fillId="0" borderId="2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1" fillId="0" borderId="25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42" fillId="0" borderId="2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43" fillId="0" borderId="2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44" fillId="0" borderId="2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45" fillId="0" borderId="2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6" fillId="0" borderId="25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47" fillId="0" borderId="25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648" fillId="0" borderId="2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9" fillId="0" borderId="2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50" fillId="0" borderId="2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51" fillId="0" borderId="2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52" fillId="0" borderId="2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53" fillId="0" borderId="2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54" fillId="0" borderId="2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55" fillId="0" borderId="2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56" fillId="0" borderId="2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7" fillId="0" borderId="2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8" fillId="0" borderId="25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59" fillId="0" borderId="25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660" fillId="0" borderId="2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61" fillId="0" borderId="2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62" fillId="0" borderId="25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63" fillId="0" borderId="2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64" fillId="0" borderId="2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65" fillId="0" borderId="25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66" fillId="0" borderId="2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67" fillId="0" borderId="2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68" fillId="0" borderId="25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69" fillId="0" borderId="2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0" fillId="0" borderId="25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71" fillId="0" borderId="25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672" fillId="0" borderId="2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3" fillId="0" borderId="2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4" fillId="0" borderId="2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75" fillId="0" borderId="2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6" fillId="0" borderId="2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7" fillId="0" borderId="25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78" fillId="0" borderId="2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79" fillId="0" borderId="2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80" fillId="0" borderId="25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81" fillId="0" borderId="2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2" fillId="0" borderId="25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83" fillId="99" borderId="2560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84" fillId="100" borderId="2561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85" fillId="101" borderId="2562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686" fillId="0" borderId="2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87" fillId="0" borderId="2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88" fillId="0" borderId="25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89" fillId="102" borderId="2566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90" fillId="103" borderId="2567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91" fillId="0" borderId="2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2" fillId="0" borderId="2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3" fillId="0" borderId="25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94" fillId="104" borderId="2571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95" fillId="105" borderId="2572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96" fillId="0" borderId="2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97" fillId="0" borderId="2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98" fillId="0" borderId="2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99" fillId="106" borderId="2576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700" fillId="107" borderId="2577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1" fillId="0" borderId="2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2" fillId="0" borderId="2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3" fillId="0" borderId="2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4" fillId="0" borderId="25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5" fillId="0" borderId="2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6" fillId="0" borderId="2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7" fillId="0" borderId="2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8" fillId="0" borderId="2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9" fillId="0" borderId="2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0" fillId="0" borderId="25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1" fillId="0" borderId="2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2" fillId="0" borderId="2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3" fillId="0" borderId="25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14" fillId="0" borderId="25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15" fillId="0" borderId="25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16" fillId="0" borderId="2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7" fillId="0" borderId="2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8" fillId="0" borderId="2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9" fillId="0" borderId="2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0" fillId="0" borderId="25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21" fillId="0" borderId="25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722" fillId="0" borderId="2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23" fillId="0" borderId="2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24" fillId="0" borderId="2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25" fillId="0" borderId="2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26" fillId="0" borderId="2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27" fillId="0" borderId="2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728" fillId="0" borderId="2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29" fillId="0" borderId="2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30" fillId="0" borderId="26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1" fillId="0" borderId="2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2" fillId="0" borderId="26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33" fillId="0" borderId="26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734" fillId="0" borderId="2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5" fillId="0" borderId="2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6" fillId="0" borderId="2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37" fillId="0" borderId="2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8" fillId="0" borderId="2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9" fillId="0" borderId="26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740" fillId="0" borderId="2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41" fillId="0" borderId="2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42" fillId="0" borderId="2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3" fillId="0" borderId="2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4" fillId="0" borderId="26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45" fillId="0" borderId="26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746" fillId="0" borderId="2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47" fillId="0" borderId="2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48" fillId="0" borderId="2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49" fillId="0" borderId="2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50" fillId="0" borderId="2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51" fillId="0" borderId="26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752" fillId="0" borderId="2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53" fillId="0" borderId="2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54" fillId="0" borderId="26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5" fillId="0" borderId="2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6" fillId="0" borderId="26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57" fillId="0" borderId="26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758" fillId="0" borderId="2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59" fillId="0" borderId="2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0" fillId="0" borderId="2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61" fillId="0" borderId="2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2" fillId="0" borderId="2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3" fillId="0" borderId="26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764" fillId="0" borderId="2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65" fillId="0" borderId="2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66" fillId="0" borderId="2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7" fillId="0" borderId="2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8" fillId="0" borderId="26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69" fillId="0" borderId="26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770" fillId="0" borderId="2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71" fillId="0" borderId="2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72" fillId="0" borderId="2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73" fillId="0" borderId="2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74" fillId="0" borderId="2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75" fillId="0" borderId="26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776" fillId="0" borderId="2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77" fillId="0" borderId="2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78" fillId="0" borderId="26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9" fillId="0" borderId="2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0" fillId="0" borderId="26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81" fillId="0" borderId="26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782" fillId="0" borderId="2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83" fillId="0" borderId="2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84" fillId="0" borderId="2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85" fillId="0" borderId="2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86" fillId="0" borderId="2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87" fillId="0" borderId="26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788" fillId="0" borderId="2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89" fillId="0" borderId="2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90" fillId="0" borderId="2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1" fillId="0" borderId="2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2" fillId="0" borderId="26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93" fillId="0" borderId="26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794" fillId="0" borderId="2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5" fillId="0" borderId="2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6" fillId="0" borderId="26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97" fillId="0" borderId="2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8" fillId="0" borderId="2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9" fillId="0" borderId="26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00" fillId="0" borderId="2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01" fillId="0" borderId="2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02" fillId="0" borderId="26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3" fillId="0" borderId="2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4" fillId="0" borderId="26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05" fillId="0" borderId="26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806" fillId="0" borderId="2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07" fillId="0" borderId="2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08" fillId="0" borderId="26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09" fillId="0" borderId="2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10" fillId="0" borderId="2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11" fillId="0" borderId="26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12" fillId="0" borderId="2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13" fillId="0" borderId="2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14" fillId="0" borderId="2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15" fillId="0" borderId="2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6" fillId="0" borderId="26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17" fillId="0" borderId="26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818" fillId="0" borderId="2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19" fillId="0" borderId="2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20" fillId="0" borderId="26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21" fillId="0" borderId="2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22" fillId="0" borderId="2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23" fillId="0" borderId="2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24" fillId="0" borderId="2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25" fillId="0" borderId="2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26" fillId="0" borderId="27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27" fillId="0" borderId="2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8" fillId="0" borderId="27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29" fillId="0" borderId="27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830" fillId="0" borderId="2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31" fillId="0" borderId="2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32" fillId="0" borderId="2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33" fillId="0" borderId="2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34" fillId="0" borderId="2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35" fillId="0" borderId="2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36" fillId="0" borderId="2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37" fillId="0" borderId="2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38" fillId="0" borderId="2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39" fillId="0" borderId="2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0" fillId="0" borderId="27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41" fillId="0" borderId="27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842" fillId="0" borderId="2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43" fillId="0" borderId="2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44" fillId="0" borderId="2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45" fillId="0" borderId="2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46" fillId="0" borderId="2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47" fillId="0" borderId="2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48" fillId="0" borderId="2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49" fillId="0" borderId="2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50" fillId="0" borderId="2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51" fillId="0" borderId="2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2" fillId="0" borderId="27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53" fillId="0" borderId="27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854" fillId="0" borderId="2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55" fillId="0" borderId="2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56" fillId="0" borderId="2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57" fillId="0" borderId="2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58" fillId="0" borderId="2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59" fillId="0" borderId="2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60" fillId="0" borderId="2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61" fillId="0" borderId="2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62" fillId="0" borderId="27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3" fillId="0" borderId="2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4" fillId="0" borderId="27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65" fillId="0" borderId="27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866" fillId="0" borderId="2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67" fillId="0" borderId="2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68" fillId="0" borderId="27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69" fillId="0" borderId="2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70" fillId="0" borderId="2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71" fillId="0" borderId="27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72" fillId="0" borderId="2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73" fillId="0" borderId="2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74" fillId="0" borderId="27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75" fillId="0" borderId="2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6" fillId="0" borderId="27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77" fillId="0" borderId="27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878" fillId="0" borderId="2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79" fillId="0" borderId="2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80" fillId="0" borderId="27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81" fillId="0" borderId="2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82" fillId="0" borderId="2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83" fillId="0" borderId="2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84" fillId="0" borderId="2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85" fillId="0" borderId="2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86" fillId="0" borderId="27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87" fillId="0" borderId="2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8" fillId="0" borderId="27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89" fillId="108" borderId="2766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90" fillId="109" borderId="2767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91" fillId="110" borderId="2768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892" fillId="0" borderId="2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93" fillId="0" borderId="2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94" fillId="0" borderId="27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95" fillId="111" borderId="2772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96" fillId="112" borderId="2773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97" fillId="0" borderId="2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98" fillId="0" borderId="2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99" fillId="0" borderId="2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00" fillId="113" borderId="2777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01" fillId="114" borderId="2778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902" fillId="0" borderId="2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03" fillId="0" borderId="2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04" fillId="0" borderId="2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905" fillId="115" borderId="2782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906" fillId="116" borderId="2783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07" fillId="0" borderId="2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8" fillId="0" borderId="2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9" fillId="0" borderId="2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0" fillId="0" borderId="27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11" fillId="0" borderId="27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12" fillId="0" borderId="2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3" fillId="0" borderId="2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14" fillId="0" borderId="27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15" fillId="0" borderId="2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6" fillId="0" borderId="2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17" fillId="0" borderId="27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18" fillId="0" borderId="2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9" fillId="0" borderId="27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20" fillId="0" borderId="27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21" fillId="0" borderId="27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22" fillId="0" borderId="2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3" fillId="0" borderId="2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4" fillId="0" borderId="2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5" fillId="0" borderId="2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6" fillId="0" borderId="28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27" fillId="0" borderId="28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928" fillId="0" borderId="2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29" fillId="0" borderId="2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30" fillId="0" borderId="2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31" fillId="0" borderId="2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32" fillId="0" borderId="2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33" fillId="0" borderId="28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934" fillId="0" borderId="2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35" fillId="0" borderId="2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36" fillId="0" borderId="2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37" fillId="0" borderId="2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8" fillId="0" borderId="28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39" fillId="0" borderId="28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940" fillId="0" borderId="2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41" fillId="0" borderId="2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42" fillId="0" borderId="2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43" fillId="0" borderId="2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44" fillId="0" borderId="2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45" fillId="0" borderId="2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946" fillId="0" borderId="2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47" fillId="0" borderId="2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48" fillId="0" borderId="2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49" fillId="0" borderId="2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0" fillId="0" borderId="28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51" fillId="0" borderId="28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952" fillId="0" borderId="2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53" fillId="0" borderId="2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54" fillId="0" borderId="2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55" fillId="0" borderId="2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56" fillId="0" borderId="2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57" fillId="0" borderId="2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958" fillId="0" borderId="2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59" fillId="0" borderId="2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60" fillId="0" borderId="2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61" fillId="0" borderId="2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2" fillId="0" borderId="28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63" fillId="0" borderId="28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964" fillId="0" borderId="2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65" fillId="0" borderId="2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66" fillId="0" borderId="2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67" fillId="0" borderId="2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68" fillId="0" borderId="2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69" fillId="0" borderId="2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970" fillId="0" borderId="2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71" fillId="0" borderId="2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72" fillId="0" borderId="2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73" fillId="0" borderId="2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4" fillId="0" borderId="28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75" fillId="0" borderId="28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976" fillId="0" borderId="2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77" fillId="0" borderId="2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78" fillId="0" borderId="2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79" fillId="0" borderId="2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80" fillId="0" borderId="2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81" fillId="0" borderId="2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982" fillId="0" borderId="2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83" fillId="0" borderId="2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84" fillId="0" borderId="2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85" fillId="0" borderId="2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6" fillId="0" borderId="28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87" fillId="0" borderId="28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988" fillId="0" borderId="2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89" fillId="0" borderId="2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90" fillId="0" borderId="2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91" fillId="0" borderId="2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92" fillId="0" borderId="2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93" fillId="0" borderId="28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994" fillId="0" borderId="2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95" fillId="0" borderId="2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96" fillId="0" borderId="2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97" fillId="0" borderId="2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8" fillId="0" borderId="28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99" fillId="0" borderId="28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000" fillId="0" borderId="2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01" fillId="0" borderId="2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02" fillId="0" borderId="2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03" fillId="0" borderId="2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04" fillId="0" borderId="2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05" fillId="0" borderId="2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006" fillId="0" borderId="2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07" fillId="0" borderId="2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08" fillId="0" borderId="2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09" fillId="0" borderId="2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0" fillId="0" borderId="28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11" fillId="0" borderId="28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012" fillId="0" borderId="2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13" fillId="0" borderId="2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14" fillId="0" borderId="2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15" fillId="0" borderId="2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16" fillId="0" borderId="2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17" fillId="0" borderId="2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018" fillId="0" borderId="2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19" fillId="0" borderId="2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20" fillId="0" borderId="2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21" fillId="0" borderId="2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2" fillId="0" borderId="28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23" fillId="0" borderId="29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024" fillId="0" borderId="2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25" fillId="0" borderId="2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26" fillId="0" borderId="2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27" fillId="0" borderId="2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28" fillId="0" borderId="2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29" fillId="0" borderId="2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030" fillId="0" borderId="2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31" fillId="0" borderId="2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32" fillId="0" borderId="2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33" fillId="0" borderId="2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4" fillId="0" borderId="29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35" fillId="0" borderId="29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036" fillId="0" borderId="2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37" fillId="0" borderId="2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38" fillId="0" borderId="2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39" fillId="0" borderId="2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40" fillId="0" borderId="2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41" fillId="0" borderId="29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042" fillId="0" borderId="2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43" fillId="0" borderId="2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44" fillId="0" borderId="2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45" fillId="0" borderId="2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6" fillId="0" borderId="29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47" fillId="0" borderId="29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048" fillId="0" borderId="2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49" fillId="0" borderId="2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50" fillId="0" borderId="29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51" fillId="0" borderId="2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52" fillId="0" borderId="2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53" fillId="0" borderId="2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054" fillId="0" borderId="2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55" fillId="0" borderId="2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56" fillId="0" borderId="2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57" fillId="0" borderId="2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8" fillId="0" borderId="29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59" fillId="0" borderId="29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060" fillId="0" borderId="2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61" fillId="0" borderId="2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62" fillId="0" borderId="2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63" fillId="0" borderId="2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64" fillId="0" borderId="2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65" fillId="0" borderId="29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066" fillId="0" borderId="2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67" fillId="0" borderId="2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68" fillId="0" borderId="2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69" fillId="0" borderId="2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0" fillId="0" borderId="29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71" fillId="0" borderId="29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072" fillId="0" borderId="2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73" fillId="0" borderId="2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74" fillId="0" borderId="29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75" fillId="0" borderId="2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76" fillId="0" borderId="2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77" fillId="0" borderId="2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078" fillId="0" borderId="2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79" fillId="0" borderId="2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80" fillId="0" borderId="29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81" fillId="0" borderId="2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2" fillId="0" borderId="29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83" fillId="0" borderId="29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084" fillId="0" borderId="2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85" fillId="0" borderId="2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86" fillId="0" borderId="2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87" fillId="0" borderId="2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88" fillId="0" borderId="2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89" fillId="0" borderId="2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090" fillId="0" borderId="2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91" fillId="0" borderId="2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92" fillId="0" borderId="2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93" fillId="0" borderId="2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4" fillId="0" borderId="29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95" fillId="117" borderId="2972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96" fillId="118" borderId="2973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97" fillId="119" borderId="2974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098" fillId="0" borderId="2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99" fillId="0" borderId="2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00" fillId="0" borderId="29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01" fillId="120" borderId="2978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02" fillId="121" borderId="2979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03" fillId="0" borderId="2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04" fillId="0" borderId="2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05" fillId="0" borderId="29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06" fillId="122" borderId="2983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07" fillId="123" borderId="2984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108" fillId="0" borderId="2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09" fillId="0" borderId="2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10" fillId="0" borderId="2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111" fillId="124" borderId="2988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112" fillId="125" borderId="2989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13" fillId="0" borderId="2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4" fillId="0" borderId="2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5" fillId="0" borderId="2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6" fillId="0" borderId="2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17" fillId="0" borderId="29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18" fillId="0" borderId="2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9" fillId="0" borderId="2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20" fillId="0" borderId="29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21" fillId="0" borderId="2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2" fillId="0" borderId="2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23" fillId="0" borderId="30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24" fillId="0" borderId="3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5" fillId="0" borderId="30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26" fillId="0" borderId="30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27" fillId="0" borderId="30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28" fillId="0" borderId="3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9" fillId="0" borderId="3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0" fillId="0" borderId="3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1" fillId="0" borderId="3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2" fillId="0" borderId="30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33" fillId="0" borderId="30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134" fillId="0" borderId="3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35" fillId="0" borderId="3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36" fillId="0" borderId="30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37" fillId="0" borderId="3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38" fillId="0" borderId="3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39" fillId="0" borderId="30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140" fillId="0" borderId="3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41" fillId="0" borderId="3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42" fillId="0" borderId="30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43" fillId="0" borderId="3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4" fillId="0" borderId="30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45" fillId="0" borderId="30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146" fillId="0" borderId="3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47" fillId="0" borderId="3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48" fillId="0" borderId="30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49" fillId="0" borderId="3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50" fillId="0" borderId="3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51" fillId="0" borderId="30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152" fillId="0" borderId="3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53" fillId="0" borderId="3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54" fillId="0" borderId="30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55" fillId="0" borderId="3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6" fillId="0" borderId="30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57" fillId="0" borderId="30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158" fillId="0" borderId="3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59" fillId="0" borderId="3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60" fillId="0" borderId="30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61" fillId="0" borderId="3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62" fillId="0" borderId="3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63" fillId="0" borderId="30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164" fillId="0" borderId="3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65" fillId="0" borderId="3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66" fillId="0" borderId="30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67" fillId="0" borderId="3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8" fillId="0" borderId="30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69" fillId="0" borderId="30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170" fillId="0" borderId="3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71" fillId="0" borderId="3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72" fillId="0" borderId="30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73" fillId="0" borderId="3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74" fillId="0" borderId="3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75" fillId="0" borderId="30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176" fillId="0" borderId="3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77" fillId="0" borderId="3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78" fillId="0" borderId="30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79" fillId="0" borderId="3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0" fillId="0" borderId="30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81" fillId="0" borderId="30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182" fillId="0" borderId="3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83" fillId="0" borderId="3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84" fillId="0" borderId="30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85" fillId="0" borderId="3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86" fillId="0" borderId="3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87" fillId="0" borderId="30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188" fillId="0" borderId="3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89" fillId="0" borderId="3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90" fillId="0" borderId="30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91" fillId="0" borderId="3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2" fillId="0" borderId="30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93" fillId="0" borderId="30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194" fillId="0" borderId="3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95" fillId="0" borderId="3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96" fillId="0" borderId="30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97" fillId="0" borderId="3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98" fillId="0" borderId="3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99" fillId="0" borderId="30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00" fillId="0" borderId="3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01" fillId="0" borderId="3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02" fillId="0" borderId="3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3" fillId="0" borderId="3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4" fillId="0" borderId="30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05" fillId="0" borderId="30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206" fillId="0" borderId="3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07" fillId="0" borderId="3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08" fillId="0" borderId="30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09" fillId="0" borderId="3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10" fillId="0" borderId="3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11" fillId="0" borderId="30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12" fillId="0" borderId="3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13" fillId="0" borderId="3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14" fillId="0" borderId="30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15" fillId="0" borderId="3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6" fillId="0" borderId="30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17" fillId="0" borderId="30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218" fillId="0" borderId="3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19" fillId="0" borderId="3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20" fillId="0" borderId="30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21" fillId="0" borderId="3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22" fillId="0" borderId="3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23" fillId="0" borderId="3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24" fillId="0" borderId="3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25" fillId="0" borderId="3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26" fillId="0" borderId="3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27" fillId="0" borderId="3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8" fillId="0" borderId="31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29" fillId="0" borderId="31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230" fillId="0" borderId="3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31" fillId="0" borderId="3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32" fillId="0" borderId="3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33" fillId="0" borderId="3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34" fillId="0" borderId="3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35" fillId="0" borderId="3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36" fillId="0" borderId="3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37" fillId="0" borderId="3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38" fillId="0" borderId="3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39" fillId="0" borderId="3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0" fillId="0" borderId="31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41" fillId="0" borderId="31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242" fillId="0" borderId="3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43" fillId="0" borderId="3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44" fillId="0" borderId="3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45" fillId="0" borderId="3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46" fillId="0" borderId="3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47" fillId="0" borderId="3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48" fillId="0" borderId="3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49" fillId="0" borderId="3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50" fillId="0" borderId="3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51" fillId="0" borderId="3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2" fillId="0" borderId="31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53" fillId="0" borderId="31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254" fillId="0" borderId="3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55" fillId="0" borderId="3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56" fillId="0" borderId="3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57" fillId="0" borderId="3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58" fillId="0" borderId="3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59" fillId="0" borderId="3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60" fillId="0" borderId="3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61" fillId="0" borderId="3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62" fillId="0" borderId="3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63" fillId="0" borderId="3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4" fillId="0" borderId="31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65" fillId="0" borderId="31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266" fillId="0" borderId="3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67" fillId="0" borderId="3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68" fillId="0" borderId="3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69" fillId="0" borderId="3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70" fillId="0" borderId="3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71" fillId="0" borderId="3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72" fillId="0" borderId="3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73" fillId="0" borderId="3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74" fillId="0" borderId="3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75" fillId="0" borderId="3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6" fillId="0" borderId="31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77" fillId="0" borderId="31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278" fillId="0" borderId="3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79" fillId="0" borderId="3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80" fillId="0" borderId="3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81" fillId="0" borderId="3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82" fillId="0" borderId="3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83" fillId="0" borderId="3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84" fillId="0" borderId="3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85" fillId="0" borderId="3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86" fillId="0" borderId="3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87" fillId="0" borderId="3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8" fillId="0" borderId="31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89" fillId="0" borderId="31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290" fillId="0" borderId="3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91" fillId="0" borderId="3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92" fillId="0" borderId="3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93" fillId="0" borderId="3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94" fillId="0" borderId="3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95" fillId="0" borderId="3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96" fillId="0" borderId="3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97" fillId="0" borderId="3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98" fillId="0" borderId="3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99" fillId="0" borderId="3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0" fillId="0" borderId="31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01" fillId="126" borderId="3178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02" fillId="127" borderId="3179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03" fillId="128" borderId="3180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304" fillId="0" borderId="3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05" fillId="0" borderId="3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06" fillId="0" borderId="3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07" fillId="129" borderId="3184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08" fillId="130" borderId="3185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09" fillId="0" borderId="3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10" fillId="0" borderId="3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11" fillId="0" borderId="3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12" fillId="131" borderId="3189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13" fillId="132" borderId="3190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314" fillId="0" borderId="3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15" fillId="0" borderId="3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16" fillId="0" borderId="3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317" fillId="133" borderId="3194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318" fillId="134" borderId="3195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19" fillId="0" borderId="3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0" fillId="0" borderId="3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1" fillId="0" borderId="3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2" fillId="0" borderId="3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3" fillId="0" borderId="3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4" fillId="0" borderId="3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5" fillId="0" borderId="3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6" fillId="0" borderId="3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7" fillId="0" borderId="3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8" fillId="0" borderId="3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9" fillId="0" borderId="3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0" fillId="0" borderId="3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1" fillId="0" borderId="32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32" fillId="0" borderId="32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33" fillId="0" borderId="32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34" fillId="0" borderId="3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5" fillId="0" borderId="3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6" fillId="0" borderId="3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7" fillId="0" borderId="3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8" fillId="0" borderId="32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39" fillId="0" borderId="32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340" fillId="0" borderId="3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41" fillId="0" borderId="3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42" fillId="0" borderId="3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43" fillId="0" borderId="3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44" fillId="0" borderId="3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45" fillId="0" borderId="3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346" fillId="0" borderId="3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47" fillId="0" borderId="3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48" fillId="0" borderId="3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49" fillId="0" borderId="3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0" fillId="0" borderId="32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51" fillId="0" borderId="32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352" fillId="0" borderId="3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53" fillId="0" borderId="3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54" fillId="0" borderId="3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55" fillId="0" borderId="3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56" fillId="0" borderId="3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57" fillId="0" borderId="3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358" fillId="0" borderId="3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59" fillId="0" borderId="3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60" fillId="0" borderId="3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61" fillId="0" borderId="3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2" fillId="0" borderId="32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63" fillId="0" borderId="32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364" fillId="0" borderId="3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65" fillId="0" borderId="3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66" fillId="0" borderId="3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67" fillId="0" borderId="3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68" fillId="0" borderId="3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69" fillId="0" borderId="3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370" fillId="0" borderId="3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71" fillId="0" borderId="3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72" fillId="0" borderId="3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3" fillId="0" borderId="3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4" fillId="0" borderId="32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75" fillId="0" borderId="32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376" fillId="0" borderId="3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77" fillId="0" borderId="3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78" fillId="0" borderId="3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79" fillId="0" borderId="3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80" fillId="0" borderId="3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81" fillId="0" borderId="3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382" fillId="0" borderId="3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83" fillId="0" borderId="3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84" fillId="0" borderId="3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5" fillId="0" borderId="3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6" fillId="0" borderId="32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87" fillId="0" borderId="32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388" fillId="0" borderId="3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89" fillId="0" borderId="3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90" fillId="0" borderId="3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91" fillId="0" borderId="3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92" fillId="0" borderId="3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93" fillId="0" borderId="3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394" fillId="0" borderId="3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95" fillId="0" borderId="3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96" fillId="0" borderId="3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97" fillId="0" borderId="3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8" fillId="0" borderId="32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99" fillId="0" borderId="32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400" fillId="0" borderId="3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01" fillId="0" borderId="3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02" fillId="0" borderId="3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03" fillId="0" borderId="3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04" fillId="0" borderId="3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05" fillId="0" borderId="3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406" fillId="0" borderId="3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07" fillId="0" borderId="3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08" fillId="0" borderId="3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09" fillId="0" borderId="3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10" fillId="0" borderId="32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11" fillId="0" borderId="32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412" fillId="0" borderId="3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13" fillId="0" borderId="3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14" fillId="0" borderId="3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15" fillId="0" borderId="3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16" fillId="0" borderId="3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17" fillId="0" borderId="3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418" fillId="0" borderId="3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19" fillId="0" borderId="3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20" fillId="0" borderId="3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1" fillId="0" borderId="3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2" fillId="0" borderId="32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23" fillId="0" borderId="33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424" fillId="0" borderId="3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25" fillId="0" borderId="3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26" fillId="0" borderId="3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27" fillId="0" borderId="3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28" fillId="0" borderId="3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29" fillId="0" borderId="3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430" fillId="0" borderId="3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31" fillId="0" borderId="3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32" fillId="0" borderId="3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3" fillId="0" borderId="3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4" fillId="0" borderId="33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35" fillId="0" borderId="33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436" fillId="0" borderId="3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37" fillId="0" borderId="3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38" fillId="0" borderId="3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39" fillId="0" borderId="3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40" fillId="0" borderId="3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41" fillId="0" borderId="3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442" fillId="0" borderId="3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43" fillId="0" borderId="3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44" fillId="0" borderId="3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5" fillId="0" borderId="3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6" fillId="0" borderId="33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47" fillId="0" borderId="33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448" fillId="0" borderId="3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49" fillId="0" borderId="3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50" fillId="0" borderId="3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51" fillId="0" borderId="3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52" fillId="0" borderId="3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53" fillId="0" borderId="3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454" fillId="0" borderId="3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55" fillId="0" borderId="3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56" fillId="0" borderId="3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57" fillId="0" borderId="3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58" fillId="0" borderId="33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59" fillId="0" borderId="33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460" fillId="0" borderId="3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61" fillId="0" borderId="3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62" fillId="0" borderId="3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63" fillId="0" borderId="3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64" fillId="0" borderId="3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65" fillId="0" borderId="3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466" fillId="0" borderId="3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67" fillId="0" borderId="3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68" fillId="0" borderId="3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69" fillId="0" borderId="3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70" fillId="0" borderId="33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71" fillId="0" borderId="33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472" fillId="0" borderId="3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73" fillId="0" borderId="3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74" fillId="0" borderId="3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75" fillId="0" borderId="3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76" fillId="0" borderId="3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77" fillId="0" borderId="3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478" fillId="0" borderId="3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79" fillId="0" borderId="3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80" fillId="0" borderId="3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81" fillId="0" borderId="3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2" fillId="0" borderId="33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83" fillId="0" borderId="33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484" fillId="0" borderId="3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85" fillId="0" borderId="3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86" fillId="0" borderId="3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87" fillId="0" borderId="3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88" fillId="0" borderId="3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89" fillId="0" borderId="3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490" fillId="0" borderId="3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91" fillId="0" borderId="3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92" fillId="0" borderId="3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93" fillId="0" borderId="3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4" fillId="0" borderId="33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95" fillId="0" borderId="33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496" fillId="0" borderId="3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97" fillId="0" borderId="3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98" fillId="0" borderId="3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99" fillId="0" borderId="3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00" fillId="0" borderId="3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01" fillId="0" borderId="3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502" fillId="0" borderId="3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03" fillId="0" borderId="3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04" fillId="0" borderId="3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5" fillId="0" borderId="3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6" fillId="0" borderId="33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507" fillId="135" borderId="3384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508" fillId="136" borderId="3385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509" fillId="137" borderId="3386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510" fillId="0" borderId="3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11" fillId="0" borderId="3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12" fillId="0" borderId="3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13" fillId="138" borderId="3390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14" fillId="139" borderId="3391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15" fillId="0" borderId="3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16" fillId="0" borderId="3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17" fillId="0" borderId="3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18" fillId="140" borderId="3395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19" fillId="141" borderId="3396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520" fillId="0" borderId="3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21" fillId="0" borderId="3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22" fillId="0" borderId="3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523" fillId="142" borderId="3400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524" fillId="143" borderId="3401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25" fillId="0" borderId="3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6" fillId="0" borderId="3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7" fillId="0" borderId="3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8" fillId="0" borderId="3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29" fillId="0" borderId="34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30" fillId="0" borderId="3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1" fillId="0" borderId="3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32" fillId="0" borderId="3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33" fillId="0" borderId="3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4" fillId="0" borderId="3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35" fillId="0" borderId="3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36" fillId="0" borderId="3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7" fillId="0" borderId="34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538" fillId="0" borderId="34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539" fillId="0" borderId="34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540" fillId="0" borderId="3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1" fillId="0" borderId="3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2" fillId="0" borderId="3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3" fillId="0" borderId="3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4" fillId="0" borderId="34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545" fillId="0" borderId="34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546" fillId="0" borderId="3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47" fillId="0" borderId="3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48" fillId="0" borderId="3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49" fillId="0" borderId="3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50" fillId="0" borderId="3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51" fillId="0" borderId="34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552" fillId="0" borderId="3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53" fillId="0" borderId="3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54" fillId="0" borderId="3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55" fillId="0" borderId="3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56" fillId="0" borderId="34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557" fillId="0" borderId="34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558" fillId="0" borderId="3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59" fillId="0" borderId="3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60" fillId="0" borderId="3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61" fillId="0" borderId="3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62" fillId="0" borderId="3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63" fillId="0" borderId="3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564" fillId="0" borderId="3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65" fillId="0" borderId="3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66" fillId="0" borderId="34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67" fillId="0" borderId="3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68" fillId="0" borderId="34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569" fillId="0" borderId="34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570" fillId="0" borderId="3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71" fillId="0" borderId="3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72" fillId="0" borderId="3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73" fillId="0" borderId="3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74" fillId="0" borderId="3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75" fillId="0" borderId="3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576" fillId="0" borderId="3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77" fillId="0" borderId="3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78" fillId="0" borderId="3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79" fillId="0" borderId="3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80" fillId="0" borderId="34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581" fillId="0" borderId="34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582" fillId="0" borderId="3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83" fillId="0" borderId="3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84" fillId="0" borderId="3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85" fillId="0" borderId="3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86" fillId="0" borderId="3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87" fillId="0" borderId="3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588" fillId="0" borderId="3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89" fillId="0" borderId="3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90" fillId="0" borderId="34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91" fillId="0" borderId="3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2" fillId="0" borderId="34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593" fillId="0" borderId="34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594" fillId="0" borderId="3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95" fillId="0" borderId="3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96" fillId="0" borderId="3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97" fillId="0" borderId="3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98" fillId="0" borderId="3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99" fillId="0" borderId="34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00" fillId="0" borderId="3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01" fillId="0" borderId="3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02" fillId="0" borderId="3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03" fillId="0" borderId="3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4" fillId="0" borderId="34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05" fillId="0" borderId="34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606" fillId="0" borderId="3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07" fillId="0" borderId="3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08" fillId="0" borderId="3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09" fillId="0" borderId="3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10" fillId="0" borderId="3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11" fillId="0" borderId="3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12" fillId="0" borderId="3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13" fillId="0" borderId="3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14" fillId="0" borderId="3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15" fillId="0" borderId="3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16" fillId="0" borderId="34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17" fillId="0" borderId="34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618" fillId="0" borderId="3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19" fillId="0" borderId="3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20" fillId="0" borderId="34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21" fillId="0" borderId="3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22" fillId="0" borderId="3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23" fillId="0" borderId="3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24" fillId="0" borderId="3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25" fillId="0" borderId="3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26" fillId="0" borderId="3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27" fillId="0" borderId="3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8" fillId="0" borderId="35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29" fillId="0" borderId="35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630" fillId="0" borderId="3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31" fillId="0" borderId="3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32" fillId="0" borderId="3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33" fillId="0" borderId="3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34" fillId="0" borderId="3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35" fillId="0" borderId="35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36" fillId="0" borderId="3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37" fillId="0" borderId="3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38" fillId="0" borderId="3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39" fillId="0" borderId="3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0" fillId="0" borderId="35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41" fillId="0" borderId="35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642" fillId="0" borderId="3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43" fillId="0" borderId="3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44" fillId="0" borderId="3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45" fillId="0" borderId="3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46" fillId="0" borderId="3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47" fillId="0" borderId="3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48" fillId="0" borderId="3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49" fillId="0" borderId="3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50" fillId="0" borderId="3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51" fillId="0" borderId="3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2" fillId="0" borderId="35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53" fillId="0" borderId="35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654" fillId="0" borderId="3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55" fillId="0" borderId="3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56" fillId="0" borderId="3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57" fillId="0" borderId="3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58" fillId="0" borderId="3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59" fillId="0" borderId="3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60" fillId="0" borderId="3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61" fillId="0" borderId="3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62" fillId="0" borderId="35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63" fillId="0" borderId="3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4" fillId="0" borderId="35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65" fillId="0" borderId="35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666" fillId="0" borderId="3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67" fillId="0" borderId="3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68" fillId="0" borderId="35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69" fillId="0" borderId="3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70" fillId="0" borderId="3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71" fillId="0" borderId="3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72" fillId="0" borderId="3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73" fillId="0" borderId="3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74" fillId="0" borderId="3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75" fillId="0" borderId="3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76" fillId="0" borderId="35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77" fillId="0" borderId="35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678" fillId="0" borderId="3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79" fillId="0" borderId="3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80" fillId="0" borderId="35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81" fillId="0" borderId="3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82" fillId="0" borderId="3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83" fillId="0" borderId="3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84" fillId="0" borderId="3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85" fillId="0" borderId="3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86" fillId="0" borderId="3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87" fillId="0" borderId="3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8" fillId="0" borderId="35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89" fillId="0" borderId="35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690" fillId="0" borderId="3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91" fillId="0" borderId="3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92" fillId="0" borderId="35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93" fillId="0" borderId="3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94" fillId="0" borderId="3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95" fillId="0" borderId="3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96" fillId="0" borderId="3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97" fillId="0" borderId="3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98" fillId="0" borderId="3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99" fillId="0" borderId="3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0" fillId="0" borderId="35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01" fillId="0" borderId="35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702" fillId="0" borderId="3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03" fillId="0" borderId="3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04" fillId="0" borderId="35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05" fillId="0" borderId="3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06" fillId="0" borderId="3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07" fillId="0" borderId="3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708" fillId="0" borderId="3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09" fillId="0" borderId="3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10" fillId="0" borderId="35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11" fillId="0" borderId="3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2" fillId="0" borderId="35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13" fillId="144" borderId="3590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14" fillId="145" borderId="3591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15" fillId="146" borderId="3592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716" fillId="0" borderId="3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17" fillId="0" borderId="3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18" fillId="0" borderId="3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19" fillId="147" borderId="3596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20" fillId="148" borderId="3597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21" fillId="0" borderId="3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22" fillId="0" borderId="3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23" fillId="0" borderId="3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24" fillId="149" borderId="3601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25" fillId="150" borderId="3602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726" fillId="0" borderId="3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27" fillId="0" borderId="3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28" fillId="0" borderId="36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729" fillId="151" borderId="3606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730" fillId="152" borderId="3607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31" fillId="0" borderId="3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2" fillId="0" borderId="3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3" fillId="0" borderId="3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4" fillId="0" borderId="36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35" fillId="0" borderId="3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36" fillId="0" borderId="3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7" fillId="0" borderId="36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38" fillId="0" borderId="3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39" fillId="0" borderId="3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0" fillId="0" borderId="3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41" fillId="0" borderId="3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42" fillId="0" borderId="3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3" fillId="0" borderId="36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44" fillId="0" borderId="36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45" fillId="0" borderId="36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46" fillId="0" borderId="3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7" fillId="0" borderId="3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8" fillId="0" borderId="3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9" fillId="0" borderId="3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0" fillId="0" borderId="36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51" fillId="0" borderId="36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752" fillId="0" borderId="3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53" fillId="0" borderId="3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54" fillId="0" borderId="36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55" fillId="0" borderId="3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56" fillId="0" borderId="3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57" fillId="0" borderId="3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758" fillId="0" borderId="3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59" fillId="0" borderId="3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60" fillId="0" borderId="3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61" fillId="0" borderId="3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2" fillId="0" borderId="36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63" fillId="0" borderId="36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764" fillId="0" borderId="3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65" fillId="0" borderId="3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66" fillId="0" borderId="3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67" fillId="0" borderId="3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68" fillId="0" borderId="3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69" fillId="0" borderId="3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770" fillId="0" borderId="3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71" fillId="0" borderId="3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72" fillId="0" borderId="3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73" fillId="0" borderId="3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4" fillId="0" borderId="36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75" fillId="0" borderId="36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776" fillId="0" borderId="3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77" fillId="0" borderId="3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78" fillId="0" borderId="36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79" fillId="0" borderId="3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80" fillId="0" borderId="3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81" fillId="0" borderId="3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782" fillId="0" borderId="3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83" fillId="0" borderId="3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84" fillId="0" borderId="3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85" fillId="0" borderId="3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6" fillId="0" borderId="36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87" fillId="0" borderId="36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788" fillId="0" borderId="3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89" fillId="0" borderId="3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90" fillId="0" borderId="3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91" fillId="0" borderId="3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92" fillId="0" borderId="3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93" fillId="0" borderId="3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794" fillId="0" borderId="3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95" fillId="0" borderId="3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96" fillId="0" borderId="36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97" fillId="0" borderId="3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8" fillId="0" borderId="36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99" fillId="0" borderId="36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800" fillId="0" borderId="3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01" fillId="0" borderId="3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02" fillId="0" borderId="36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03" fillId="0" borderId="3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04" fillId="0" borderId="3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05" fillId="0" borderId="36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806" fillId="0" borderId="3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07" fillId="0" borderId="3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08" fillId="0" borderId="36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09" fillId="0" borderId="3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10" fillId="0" borderId="36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11" fillId="0" borderId="36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812" fillId="0" borderId="3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13" fillId="0" borderId="3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14" fillId="0" borderId="3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15" fillId="0" borderId="3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16" fillId="0" borderId="3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17" fillId="0" borderId="3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818" fillId="0" borderId="3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19" fillId="0" borderId="3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20" fillId="0" borderId="36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21" fillId="0" borderId="3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2" fillId="0" borderId="36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23" fillId="0" borderId="37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824" fillId="0" borderId="3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25" fillId="0" borderId="3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26" fillId="0" borderId="37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27" fillId="0" borderId="3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28" fillId="0" borderId="3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29" fillId="0" borderId="37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830" fillId="0" borderId="3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31" fillId="0" borderId="3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32" fillId="0" borderId="3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33" fillId="0" borderId="3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34" fillId="0" borderId="37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35" fillId="0" borderId="37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836" fillId="0" borderId="3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37" fillId="0" borderId="3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38" fillId="0" borderId="3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39" fillId="0" borderId="3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40" fillId="0" borderId="3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41" fillId="0" borderId="37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842" fillId="0" borderId="3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43" fillId="0" borderId="3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44" fillId="0" borderId="3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45" fillId="0" borderId="3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46" fillId="0" borderId="37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47" fillId="0" borderId="37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848" fillId="0" borderId="3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49" fillId="0" borderId="3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50" fillId="0" borderId="3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51" fillId="0" borderId="3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52" fillId="0" borderId="3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53" fillId="0" borderId="37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854" fillId="0" borderId="3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55" fillId="0" borderId="3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56" fillId="0" borderId="3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57" fillId="0" borderId="3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58" fillId="0" borderId="37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59" fillId="0" borderId="37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860" fillId="0" borderId="3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61" fillId="0" borderId="3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62" fillId="0" borderId="37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63" fillId="0" borderId="3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64" fillId="0" borderId="3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65" fillId="0" borderId="37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866" fillId="0" borderId="3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67" fillId="0" borderId="3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68" fillId="0" borderId="37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69" fillId="0" borderId="3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70" fillId="0" borderId="37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71" fillId="0" borderId="37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872" fillId="0" borderId="3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73" fillId="0" borderId="3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74" fillId="0" borderId="37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75" fillId="0" borderId="3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76" fillId="0" borderId="3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77" fillId="0" borderId="37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878" fillId="0" borderId="3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79" fillId="0" borderId="3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80" fillId="0" borderId="37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81" fillId="0" borderId="3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2" fillId="0" borderId="37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83" fillId="0" borderId="37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884" fillId="0" borderId="3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85" fillId="0" borderId="3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86" fillId="0" borderId="37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87" fillId="0" borderId="3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88" fillId="0" borderId="3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89" fillId="0" borderId="37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890" fillId="0" borderId="3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91" fillId="0" borderId="3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92" fillId="0" borderId="3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93" fillId="0" borderId="3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94" fillId="0" borderId="37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95" fillId="0" borderId="37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896" fillId="0" borderId="3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97" fillId="0" borderId="3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98" fillId="0" borderId="37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99" fillId="0" borderId="3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00" fillId="0" borderId="3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01" fillId="0" borderId="37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902" fillId="0" borderId="3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03" fillId="0" borderId="3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04" fillId="0" borderId="3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05" fillId="0" borderId="3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6" fillId="0" borderId="37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07" fillId="0" borderId="37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908" fillId="0" borderId="3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09" fillId="0" borderId="3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10" fillId="0" borderId="37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11" fillId="0" borderId="3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12" fillId="0" borderId="3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13" fillId="0" borderId="3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914" fillId="0" borderId="3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15" fillId="0" borderId="3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16" fillId="0" borderId="3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17" fillId="0" borderId="3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8" fillId="0" borderId="37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19" fillId="153" borderId="3796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20" fillId="154" borderId="3797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21" fillId="155" borderId="3798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922" fillId="0" borderId="3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23" fillId="0" borderId="3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24" fillId="0" borderId="3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25" fillId="156" borderId="3802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26" fillId="157" borderId="3803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27" fillId="0" borderId="3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28" fillId="0" borderId="3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29" fillId="0" borderId="3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30" fillId="158" borderId="3807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31" fillId="159" borderId="3808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932" fillId="0" borderId="3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33" fillId="0" borderId="3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34" fillId="0" borderId="3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935" fillId="160" borderId="3812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936" fillId="161" borderId="3813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37" fillId="0" borderId="3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8" fillId="0" borderId="3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9" fillId="0" borderId="3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40" fillId="0" borderId="3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41" fillId="0" borderId="38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42" fillId="0" borderId="3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43" fillId="0" borderId="3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44" fillId="0" borderId="3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45" fillId="0" borderId="3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46" fillId="0" borderId="3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47" fillId="0" borderId="38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48" fillId="0" borderId="3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49" fillId="0" borderId="38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50" fillId="0" borderId="38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51" fillId="0" borderId="38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52" fillId="0" borderId="3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3" fillId="0" borderId="3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4" fillId="0" borderId="3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5" fillId="0" borderId="3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6" fillId="0" borderId="38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57" fillId="0" borderId="38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958" fillId="0" borderId="3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59" fillId="0" borderId="3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60" fillId="0" borderId="3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61" fillId="0" borderId="3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62" fillId="0" borderId="3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63" fillId="0" borderId="38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964" fillId="0" borderId="3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65" fillId="0" borderId="3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66" fillId="0" borderId="3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67" fillId="0" borderId="3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8" fillId="0" borderId="38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69" fillId="0" borderId="38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970" fillId="0" borderId="3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71" fillId="0" borderId="3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72" fillId="0" borderId="3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73" fillId="0" borderId="3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74" fillId="0" borderId="3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75" fillId="0" borderId="38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976" fillId="0" borderId="3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77" fillId="0" borderId="3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78" fillId="0" borderId="3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79" fillId="0" borderId="3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0" fillId="0" borderId="38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81" fillId="0" borderId="38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982" fillId="0" borderId="3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83" fillId="0" borderId="3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84" fillId="0" borderId="3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85" fillId="0" borderId="3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86" fillId="0" borderId="3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87" fillId="0" borderId="3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988" fillId="0" borderId="3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89" fillId="0" borderId="3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90" fillId="0" borderId="3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91" fillId="0" borderId="3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2" fillId="0" borderId="38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93" fillId="0" borderId="38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994" fillId="0" borderId="3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95" fillId="0" borderId="3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96" fillId="0" borderId="3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97" fillId="0" borderId="3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98" fillId="0" borderId="3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99" fillId="0" borderId="3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00" fillId="0" borderId="3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01" fillId="0" borderId="3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02" fillId="0" borderId="3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03" fillId="0" borderId="3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4" fillId="0" borderId="38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005" fillId="0" borderId="38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006" fillId="0" borderId="3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07" fillId="0" borderId="3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08" fillId="0" borderId="3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09" fillId="0" borderId="3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10" fillId="0" borderId="3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11" fillId="0" borderId="3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12" fillId="0" borderId="3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13" fillId="0" borderId="3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14" fillId="0" borderId="3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15" fillId="0" borderId="3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6" fillId="0" borderId="38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017" fillId="0" borderId="38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018" fillId="0" borderId="3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19" fillId="0" borderId="3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20" fillId="0" borderId="3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21" fillId="0" borderId="3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22" fillId="0" borderId="3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23" fillId="0" borderId="3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24" fillId="0" borderId="3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25" fillId="0" borderId="3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26" fillId="0" borderId="3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27" fillId="0" borderId="3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8" fillId="0" borderId="39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029" fillId="0" borderId="39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030" fillId="0" borderId="3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31" fillId="0" borderId="3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32" fillId="0" borderId="3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33" fillId="0" borderId="3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34" fillId="0" borderId="3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35" fillId="0" borderId="3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36" fillId="0" borderId="3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37" fillId="0" borderId="3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38" fillId="0" borderId="3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39" fillId="0" borderId="3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0" fillId="0" borderId="39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041" fillId="0" borderId="39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042" fillId="0" borderId="3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43" fillId="0" borderId="3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44" fillId="0" borderId="3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45" fillId="0" borderId="3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46" fillId="0" borderId="3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47" fillId="0" borderId="3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48" fillId="0" borderId="3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49" fillId="0" borderId="3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50" fillId="0" borderId="39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51" fillId="0" borderId="3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52" fillId="0" borderId="39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053" fillId="0" borderId="39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054" fillId="0" borderId="3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55" fillId="0" borderId="3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56" fillId="0" borderId="3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57" fillId="0" borderId="3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58" fillId="0" borderId="3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59" fillId="0" borderId="3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60" fillId="0" borderId="3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61" fillId="0" borderId="3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62" fillId="0" borderId="3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63" fillId="0" borderId="3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64" fillId="0" borderId="39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065" fillId="0" borderId="39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066" fillId="0" borderId="3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67" fillId="0" borderId="3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68" fillId="0" borderId="3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69" fillId="0" borderId="3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70" fillId="0" borderId="3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71" fillId="0" borderId="39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72" fillId="0" borderId="3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73" fillId="0" borderId="3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74" fillId="0" borderId="39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75" fillId="0" borderId="3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76" fillId="0" borderId="39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077" fillId="0" borderId="39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078" fillId="0" borderId="3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79" fillId="0" borderId="3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80" fillId="0" borderId="39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81" fillId="0" borderId="3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82" fillId="0" borderId="3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83" fillId="0" borderId="39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84" fillId="0" borderId="3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85" fillId="0" borderId="3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86" fillId="0" borderId="3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87" fillId="0" borderId="3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88" fillId="0" borderId="39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089" fillId="0" borderId="39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090" fillId="0" borderId="3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91" fillId="0" borderId="3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92" fillId="0" borderId="3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93" fillId="0" borderId="3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94" fillId="0" borderId="3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95" fillId="0" borderId="39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96" fillId="0" borderId="3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97" fillId="0" borderId="3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98" fillId="0" borderId="39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99" fillId="0" borderId="3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0" fillId="0" borderId="39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01" fillId="0" borderId="39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102" fillId="0" borderId="3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03" fillId="0" borderId="3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04" fillId="0" borderId="3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05" fillId="0" borderId="3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06" fillId="0" borderId="3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07" fillId="0" borderId="3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108" fillId="0" borderId="3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09" fillId="0" borderId="3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10" fillId="0" borderId="3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11" fillId="0" borderId="3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12" fillId="0" borderId="39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13" fillId="0" borderId="39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114" fillId="0" borderId="3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15" fillId="0" borderId="3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16" fillId="0" borderId="3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17" fillId="0" borderId="3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18" fillId="0" borderId="3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19" fillId="0" borderId="3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120" fillId="0" borderId="3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21" fillId="0" borderId="3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22" fillId="0" borderId="3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23" fillId="0" borderId="4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4" fillId="0" borderId="40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25" fillId="162" borderId="4002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26" fillId="163" borderId="4003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27" fillId="164" borderId="4004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128" fillId="0" borderId="4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29" fillId="0" borderId="4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30" fillId="0" borderId="40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31" fillId="165" borderId="4008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32" fillId="166" borderId="4009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33" fillId="0" borderId="4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34" fillId="0" borderId="4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35" fillId="0" borderId="40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36" fillId="167" borderId="4013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37" fillId="168" borderId="4014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138" fillId="0" borderId="4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39" fillId="0" borderId="4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40" fillId="0" borderId="40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141" fillId="169" borderId="4018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142" fillId="170" borderId="4019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43" fillId="0" borderId="4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4" fillId="0" borderId="4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5" fillId="0" borderId="4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6" fillId="0" borderId="4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47" fillId="0" borderId="40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48" fillId="0" borderId="4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9" fillId="0" borderId="4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50" fillId="0" borderId="40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51" fillId="0" borderId="4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52" fillId="0" borderId="4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53" fillId="0" borderId="40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54" fillId="0" borderId="4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55" fillId="0" borderId="40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56" fillId="0" borderId="40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57" fillId="0" borderId="40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58" fillId="0" borderId="4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59" fillId="0" borderId="4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60" fillId="0" borderId="4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61" fillId="0" borderId="4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62" fillId="0" borderId="40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63" fillId="0" borderId="40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164" fillId="0" borderId="4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65" fillId="0" borderId="4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66" fillId="0" borderId="40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67" fillId="0" borderId="4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68" fillId="0" borderId="4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69" fillId="0" borderId="40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170" fillId="0" borderId="4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71" fillId="0" borderId="4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72" fillId="0" borderId="40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73" fillId="0" borderId="4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74" fillId="0" borderId="40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75" fillId="0" borderId="40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176" fillId="0" borderId="4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77" fillId="0" borderId="4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78" fillId="0" borderId="40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79" fillId="0" borderId="4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80" fillId="0" borderId="4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81" fillId="0" borderId="40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182" fillId="0" borderId="4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83" fillId="0" borderId="4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84" fillId="0" borderId="40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85" fillId="0" borderId="4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86" fillId="0" borderId="40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87" fillId="0" borderId="40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188" fillId="0" borderId="4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89" fillId="0" borderId="4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90" fillId="0" borderId="40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91" fillId="0" borderId="4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92" fillId="0" borderId="4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93" fillId="0" borderId="40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194" fillId="0" borderId="4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95" fillId="0" borderId="4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96" fillId="0" borderId="40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97" fillId="0" borderId="4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8" fillId="0" borderId="40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99" fillId="0" borderId="40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200" fillId="0" borderId="4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01" fillId="0" borderId="4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02" fillId="0" borderId="4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03" fillId="0" borderId="4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04" fillId="0" borderId="4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05" fillId="0" borderId="40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06" fillId="0" borderId="4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07" fillId="0" borderId="4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08" fillId="0" borderId="40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09" fillId="0" borderId="4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10" fillId="0" borderId="40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11" fillId="0" borderId="40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212" fillId="0" borderId="4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13" fillId="0" borderId="4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14" fillId="0" borderId="40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15" fillId="0" borderId="4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16" fillId="0" borderId="4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17" fillId="0" borderId="40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18" fillId="0" borderId="4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19" fillId="0" borderId="4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20" fillId="0" borderId="40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21" fillId="0" borderId="4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22" fillId="0" borderId="40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23" fillId="0" borderId="41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224" fillId="0" borderId="4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25" fillId="0" borderId="4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26" fillId="0" borderId="4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27" fillId="0" borderId="4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28" fillId="0" borderId="4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29" fillId="0" borderId="4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30" fillId="0" borderId="4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31" fillId="0" borderId="4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32" fillId="0" borderId="4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33" fillId="0" borderId="4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34" fillId="0" borderId="41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35" fillId="0" borderId="41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236" fillId="0" borderId="4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37" fillId="0" borderId="4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38" fillId="0" borderId="4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39" fillId="0" borderId="4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40" fillId="0" borderId="4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41" fillId="0" borderId="4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42" fillId="0" borderId="4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43" fillId="0" borderId="4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44" fillId="0" borderId="4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45" fillId="0" borderId="4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46" fillId="0" borderId="41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47" fillId="0" borderId="41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248" fillId="0" borderId="4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49" fillId="0" borderId="4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50" fillId="0" borderId="4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51" fillId="0" borderId="4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52" fillId="0" borderId="4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53" fillId="0" borderId="4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54" fillId="0" borderId="4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55" fillId="0" borderId="4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56" fillId="0" borderId="4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57" fillId="0" borderId="4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58" fillId="0" borderId="41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59" fillId="0" borderId="41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260" fillId="0" borderId="4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61" fillId="0" borderId="4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62" fillId="0" borderId="4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63" fillId="0" borderId="4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64" fillId="0" borderId="4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65" fillId="0" borderId="4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66" fillId="0" borderId="4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67" fillId="0" borderId="4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68" fillId="0" borderId="4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69" fillId="0" borderId="4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70" fillId="0" borderId="41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71" fillId="0" borderId="41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272" fillId="0" borderId="4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73" fillId="0" borderId="4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74" fillId="0" borderId="4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75" fillId="0" borderId="4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76" fillId="0" borderId="4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77" fillId="0" borderId="4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78" fillId="0" borderId="4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79" fillId="0" borderId="4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80" fillId="0" borderId="4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81" fillId="0" borderId="4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82" fillId="0" borderId="41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83" fillId="0" borderId="41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284" fillId="0" borderId="4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85" fillId="0" borderId="4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86" fillId="0" borderId="4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87" fillId="0" borderId="4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88" fillId="0" borderId="4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89" fillId="0" borderId="4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90" fillId="0" borderId="4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91" fillId="0" borderId="4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92" fillId="0" borderId="4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93" fillId="0" borderId="4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94" fillId="0" borderId="41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95" fillId="0" borderId="41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296" fillId="0" borderId="4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97" fillId="0" borderId="4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98" fillId="0" borderId="4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99" fillId="0" borderId="4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00" fillId="0" borderId="4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01" fillId="0" borderId="4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302" fillId="0" borderId="4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03" fillId="0" borderId="4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04" fillId="0" borderId="4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05" fillId="0" borderId="4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06" fillId="0" borderId="41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07" fillId="0" borderId="41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308" fillId="0" borderId="4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09" fillId="0" borderId="4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10" fillId="0" borderId="4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11" fillId="0" borderId="4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12" fillId="0" borderId="4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13" fillId="0" borderId="4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314" fillId="0" borderId="4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15" fillId="0" borderId="4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16" fillId="0" borderId="4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17" fillId="0" borderId="4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18" fillId="0" borderId="41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19" fillId="0" borderId="41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320" fillId="0" borderId="4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21" fillId="0" borderId="4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22" fillId="0" borderId="4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23" fillId="0" borderId="4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24" fillId="0" borderId="4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25" fillId="0" borderId="4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326" fillId="0" borderId="4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27" fillId="0" borderId="4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28" fillId="0" borderId="4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29" fillId="0" borderId="4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30" fillId="0" borderId="42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31" fillId="171" borderId="4208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32" fillId="172" borderId="4209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33" fillId="173" borderId="4210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334" fillId="0" borderId="4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35" fillId="0" borderId="4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36" fillId="0" borderId="4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37" fillId="174" borderId="4214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38" fillId="175" borderId="4215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39" fillId="0" borderId="4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40" fillId="0" borderId="4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41" fillId="0" borderId="4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42" fillId="176" borderId="4219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43" fillId="177" borderId="4220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344" fillId="0" borderId="4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45" fillId="0" borderId="4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46" fillId="0" borderId="4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347" fillId="178" borderId="4224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348" fillId="179" borderId="4225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49" fillId="0" borderId="4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50" fillId="0" borderId="4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51" fillId="0" borderId="4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52" fillId="0" borderId="4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53" fillId="0" borderId="42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54" fillId="0" borderId="4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55" fillId="0" borderId="4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56" fillId="0" borderId="42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57" fillId="0" borderId="4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58" fillId="0" borderId="4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59" fillId="0" borderId="4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60" fillId="0" borderId="4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61" fillId="0" borderId="42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62" fillId="0" borderId="42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63" fillId="0" borderId="42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64" fillId="0" borderId="4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65" fillId="0" borderId="4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66" fillId="0" borderId="4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67" fillId="0" borderId="4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68" fillId="0" borderId="42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69" fillId="0" borderId="42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370" fillId="0" borderId="4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71" fillId="0" borderId="4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72" fillId="0" borderId="4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73" fillId="0" borderId="4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74" fillId="0" borderId="4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75" fillId="0" borderId="4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376" fillId="0" borderId="4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77" fillId="0" borderId="4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78" fillId="0" borderId="4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79" fillId="0" borderId="4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0" fillId="0" borderId="42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81" fillId="0" borderId="42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382" fillId="0" borderId="4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83" fillId="0" borderId="4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84" fillId="0" borderId="4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85" fillId="0" borderId="4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86" fillId="0" borderId="4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87" fillId="0" borderId="4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388" fillId="0" borderId="4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89" fillId="0" borderId="4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90" fillId="0" borderId="4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91" fillId="0" borderId="4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92" fillId="0" borderId="42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93" fillId="0" borderId="42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394" fillId="0" borderId="4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95" fillId="0" borderId="4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96" fillId="0" borderId="4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97" fillId="0" borderId="4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98" fillId="0" borderId="4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99" fillId="0" borderId="4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00" fillId="0" borderId="4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01" fillId="0" borderId="4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02" fillId="0" borderId="4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03" fillId="0" borderId="4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4" fillId="0" borderId="42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05" fillId="0" borderId="42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406" fillId="0" borderId="4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07" fillId="0" borderId="4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08" fillId="0" borderId="4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09" fillId="0" borderId="4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10" fillId="0" borderId="4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11" fillId="0" borderId="4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12" fillId="0" borderId="4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13" fillId="0" borderId="4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14" fillId="0" borderId="4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15" fillId="0" borderId="4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6" fillId="0" borderId="42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17" fillId="0" borderId="42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418" fillId="0" borderId="4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19" fillId="0" borderId="4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20" fillId="0" borderId="4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21" fillId="0" borderId="4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22" fillId="0" borderId="4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23" fillId="0" borderId="43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24" fillId="0" borderId="4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25" fillId="0" borderId="4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26" fillId="0" borderId="4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27" fillId="0" borderId="4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8" fillId="0" borderId="43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29" fillId="0" borderId="43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430" fillId="0" borderId="4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31" fillId="0" borderId="4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32" fillId="0" borderId="4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33" fillId="0" borderId="4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34" fillId="0" borderId="4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35" fillId="0" borderId="4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36" fillId="0" borderId="4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37" fillId="0" borderId="4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38" fillId="0" borderId="4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39" fillId="0" borderId="4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0" fillId="0" borderId="43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41" fillId="0" borderId="43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442" fillId="0" borderId="4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43" fillId="0" borderId="4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44" fillId="0" borderId="4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45" fillId="0" borderId="4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46" fillId="0" borderId="4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47" fillId="0" borderId="4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48" fillId="0" borderId="4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49" fillId="0" borderId="4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50" fillId="0" borderId="4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51" fillId="0" borderId="4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2" fillId="0" borderId="43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53" fillId="0" borderId="43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454" fillId="0" borderId="4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55" fillId="0" borderId="4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56" fillId="0" borderId="4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57" fillId="0" borderId="4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58" fillId="0" borderId="4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59" fillId="0" borderId="4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60" fillId="0" borderId="4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61" fillId="0" borderId="4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62" fillId="0" borderId="4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63" fillId="0" borderId="4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4" fillId="0" borderId="43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65" fillId="0" borderId="43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466" fillId="0" borderId="4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67" fillId="0" borderId="4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68" fillId="0" borderId="4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69" fillId="0" borderId="4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70" fillId="0" borderId="4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71" fillId="0" borderId="4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72" fillId="0" borderId="4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73" fillId="0" borderId="4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74" fillId="0" borderId="4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75" fillId="0" borderId="4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6" fillId="0" borderId="43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77" fillId="0" borderId="43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478" fillId="0" borderId="4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79" fillId="0" borderId="4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80" fillId="0" borderId="4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81" fillId="0" borderId="4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82" fillId="0" borderId="4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83" fillId="0" borderId="4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84" fillId="0" borderId="4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85" fillId="0" borderId="4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86" fillId="0" borderId="4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87" fillId="0" borderId="4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8" fillId="0" borderId="43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89" fillId="0" borderId="43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490" fillId="0" borderId="4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91" fillId="0" borderId="4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92" fillId="0" borderId="4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93" fillId="0" borderId="4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94" fillId="0" borderId="4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95" fillId="0" borderId="4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96" fillId="0" borderId="4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97" fillId="0" borderId="4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98" fillId="0" borderId="4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99" fillId="0" borderId="4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0" fillId="0" borderId="43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01" fillId="0" borderId="43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502" fillId="0" borderId="4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03" fillId="0" borderId="4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04" fillId="0" borderId="4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05" fillId="0" borderId="4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06" fillId="0" borderId="4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07" fillId="0" borderId="4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508" fillId="0" borderId="4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09" fillId="0" borderId="4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10" fillId="0" borderId="4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11" fillId="0" borderId="4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2" fillId="0" borderId="43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13" fillId="0" borderId="43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514" fillId="0" borderId="4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15" fillId="0" borderId="4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16" fillId="0" borderId="4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17" fillId="0" borderId="4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18" fillId="0" borderId="4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19" fillId="0" borderId="4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520" fillId="0" borderId="4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21" fillId="0" borderId="4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22" fillId="0" borderId="4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23" fillId="0" borderId="4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4" fillId="0" borderId="44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25" fillId="0" borderId="44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526" fillId="0" borderId="4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27" fillId="0" borderId="4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28" fillId="0" borderId="4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29" fillId="0" borderId="4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30" fillId="0" borderId="4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31" fillId="0" borderId="4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532" fillId="0" borderId="4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33" fillId="0" borderId="4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34" fillId="0" borderId="4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35" fillId="0" borderId="4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6" fillId="0" borderId="44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37" fillId="180" borderId="4414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38" fillId="181" borderId="4415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39" fillId="182" borderId="4416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540" fillId="0" borderId="4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41" fillId="0" borderId="4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42" fillId="0" borderId="4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43" fillId="183" borderId="4420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44" fillId="184" borderId="4421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45" fillId="0" borderId="4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46" fillId="0" borderId="4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47" fillId="0" borderId="4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48" fillId="185" borderId="4425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49" fillId="186" borderId="4426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550" fillId="0" borderId="4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51" fillId="0" borderId="4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52" fillId="0" borderId="4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553" fillId="187" borderId="4430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554" fillId="188" borderId="4431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55" fillId="0" borderId="4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6" fillId="0" borderId="4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7" fillId="0" borderId="4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8" fillId="0" borderId="4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59" fillId="0" borderId="4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60" fillId="0" borderId="4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61" fillId="0" borderId="44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62" fillId="0" borderId="4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63" fillId="0" borderId="4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64" fillId="0" borderId="4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65" fillId="0" borderId="44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66" fillId="0" borderId="4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67" fillId="0" borderId="44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68" fillId="0" borderId="44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69" fillId="0" borderId="44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70" fillId="0" borderId="4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71" fillId="0" borderId="4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72" fillId="0" borderId="4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73" fillId="0" borderId="4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74" fillId="0" borderId="44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75" fillId="0" borderId="44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576" fillId="0" borderId="4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77" fillId="0" borderId="4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78" fillId="0" borderId="4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79" fillId="0" borderId="4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80" fillId="0" borderId="4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81" fillId="0" borderId="44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582" fillId="0" borderId="4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83" fillId="0" borderId="4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84" fillId="0" borderId="4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85" fillId="0" borderId="4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86" fillId="0" borderId="44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87" fillId="0" borderId="44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588" fillId="0" borderId="4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89" fillId="0" borderId="4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90" fillId="0" borderId="44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91" fillId="0" borderId="4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92" fillId="0" borderId="4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93" fillId="0" borderId="4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594" fillId="0" borderId="4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95" fillId="0" borderId="4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96" fillId="0" borderId="4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97" fillId="0" borderId="4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8" fillId="0" borderId="44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99" fillId="0" borderId="44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600" fillId="0" borderId="4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01" fillId="0" borderId="4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02" fillId="0" borderId="4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03" fillId="0" borderId="4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04" fillId="0" borderId="4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05" fillId="0" borderId="4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606" fillId="0" borderId="4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07" fillId="0" borderId="4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08" fillId="0" borderId="4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09" fillId="0" borderId="4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0" fillId="0" borderId="44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11" fillId="0" borderId="44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612" fillId="0" borderId="4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13" fillId="0" borderId="4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14" fillId="0" borderId="4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15" fillId="0" borderId="4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16" fillId="0" borderId="4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17" fillId="0" borderId="4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618" fillId="0" borderId="4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19" fillId="0" borderId="4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20" fillId="0" borderId="44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21" fillId="0" borderId="4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22" fillId="0" borderId="44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23" fillId="0" borderId="45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624" fillId="0" borderId="4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25" fillId="0" borderId="4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26" fillId="0" borderId="4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27" fillId="0" borderId="4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28" fillId="0" borderId="4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29" fillId="0" borderId="4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630" fillId="0" borderId="4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31" fillId="0" borderId="4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32" fillId="0" borderId="4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33" fillId="0" borderId="4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34" fillId="0" borderId="45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35" fillId="0" borderId="45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636" fillId="0" borderId="4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37" fillId="0" borderId="4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38" fillId="0" borderId="4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39" fillId="0" borderId="4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40" fillId="0" borderId="4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41" fillId="0" borderId="45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642" fillId="0" borderId="4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43" fillId="0" borderId="4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44" fillId="0" borderId="4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45" fillId="0" borderId="4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46" fillId="0" borderId="45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47" fillId="0" borderId="45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648" fillId="0" borderId="4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49" fillId="0" borderId="4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50" fillId="0" borderId="4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51" fillId="0" borderId="4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52" fillId="0" borderId="4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53" fillId="0" borderId="4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654" fillId="0" borderId="4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55" fillId="0" borderId="4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56" fillId="0" borderId="4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57" fillId="0" borderId="4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8" fillId="0" borderId="45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59" fillId="0" borderId="45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660" fillId="0" borderId="4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61" fillId="0" borderId="4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62" fillId="0" borderId="45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63" fillId="0" borderId="4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64" fillId="0" borderId="4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65" fillId="0" borderId="45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666" fillId="0" borderId="4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67" fillId="0" borderId="4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68" fillId="0" borderId="45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69" fillId="0" borderId="4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0" fillId="0" borderId="45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71" fillId="0" borderId="45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672" fillId="0" borderId="4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73" fillId="0" borderId="4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74" fillId="0" borderId="4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75" fillId="0" borderId="4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76" fillId="0" borderId="4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77" fillId="0" borderId="45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678" fillId="0" borderId="4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79" fillId="0" borderId="4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80" fillId="0" borderId="45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81" fillId="0" borderId="4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2" fillId="0" borderId="45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83" fillId="0" borderId="45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684" fillId="0" borderId="4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85" fillId="0" borderId="4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86" fillId="0" borderId="4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87" fillId="0" borderId="4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88" fillId="0" borderId="4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89" fillId="0" borderId="45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690" fillId="0" borderId="4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91" fillId="0" borderId="4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92" fillId="0" borderId="45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93" fillId="0" borderId="4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94" fillId="0" borderId="45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95" fillId="0" borderId="45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696" fillId="0" borderId="4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97" fillId="0" borderId="4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98" fillId="0" borderId="4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99" fillId="0" borderId="4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00" fillId="0" borderId="4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01" fillId="0" borderId="45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02" fillId="0" borderId="4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03" fillId="0" borderId="4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04" fillId="0" borderId="45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05" fillId="0" borderId="4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06" fillId="0" borderId="45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707" fillId="0" borderId="45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708" fillId="0" borderId="4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09" fillId="0" borderId="4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10" fillId="0" borderId="45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11" fillId="0" borderId="4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12" fillId="0" borderId="4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13" fillId="0" borderId="45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14" fillId="0" borderId="4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15" fillId="0" borderId="4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16" fillId="0" borderId="4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17" fillId="0" borderId="4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18" fillId="0" borderId="45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719" fillId="0" borderId="45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720" fillId="0" borderId="4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21" fillId="0" borderId="4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22" fillId="0" borderId="45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23" fillId="0" borderId="4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24" fillId="0" borderId="4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25" fillId="0" borderId="46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26" fillId="0" borderId="4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27" fillId="0" borderId="4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28" fillId="0" borderId="46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29" fillId="0" borderId="4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30" fillId="0" borderId="46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731" fillId="0" borderId="46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732" fillId="0" borderId="4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33" fillId="0" borderId="4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34" fillId="0" borderId="46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35" fillId="0" borderId="4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36" fillId="0" borderId="4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37" fillId="0" borderId="46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38" fillId="0" borderId="4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39" fillId="0" borderId="4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40" fillId="0" borderId="4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41" fillId="0" borderId="4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42" fillId="0" borderId="46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743" fillId="189" borderId="4620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744" fillId="190" borderId="4621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745" fillId="191" borderId="4622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746" fillId="0" borderId="4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47" fillId="0" borderId="4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48" fillId="0" borderId="4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49" fillId="192" borderId="4626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50" fillId="193" borderId="4627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51" fillId="0" borderId="4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52" fillId="0" borderId="4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53" fillId="0" borderId="4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54" fillId="194" borderId="4631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55" fillId="195" borderId="4632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56" fillId="0" borderId="4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57" fillId="0" borderId="4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58" fillId="0" borderId="46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59" fillId="196" borderId="4636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60" fillId="197" borderId="4637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61" fillId="0" borderId="4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62" fillId="0" borderId="4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63" fillId="0" borderId="4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64" fillId="0" borderId="4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65" fillId="0" borderId="4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66" fillId="0" borderId="4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67" fillId="0" borderId="4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68" fillId="0" borderId="4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69" fillId="0" borderId="4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70" fillId="0" borderId="46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71" fillId="0" borderId="4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72" fillId="0" borderId="4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73" fillId="0" borderId="46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774" fillId="0" borderId="46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775" fillId="0" borderId="46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776" fillId="0" borderId="4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77" fillId="0" borderId="4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78" fillId="0" borderId="4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79" fillId="0" borderId="4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80" fillId="0" borderId="46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781" fillId="0" borderId="46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782" fillId="0" borderId="4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83" fillId="0" borderId="4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84" fillId="0" borderId="4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85" fillId="0" borderId="4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86" fillId="0" borderId="4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87" fillId="0" borderId="46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88" fillId="0" borderId="4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89" fillId="0" borderId="4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90" fillId="0" borderId="4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91" fillId="0" borderId="4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92" fillId="0" borderId="46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793" fillId="0" borderId="46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794" fillId="0" borderId="4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95" fillId="0" borderId="4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96" fillId="0" borderId="46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97" fillId="0" borderId="4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98" fillId="0" borderId="4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99" fillId="0" borderId="46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00" fillId="0" borderId="4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01" fillId="0" borderId="4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02" fillId="0" borderId="46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03" fillId="0" borderId="4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04" fillId="0" borderId="46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05" fillId="0" borderId="46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806" fillId="0" borderId="4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07" fillId="0" borderId="4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08" fillId="0" borderId="46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09" fillId="0" borderId="4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10" fillId="0" borderId="4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11" fillId="0" borderId="46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12" fillId="0" borderId="4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13" fillId="0" borderId="4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14" fillId="0" borderId="4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15" fillId="0" borderId="4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16" fillId="0" borderId="46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17" fillId="0" borderId="46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818" fillId="0" borderId="4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19" fillId="0" borderId="4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20" fillId="0" borderId="46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21" fillId="0" borderId="4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22" fillId="0" borderId="4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23" fillId="0" borderId="4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24" fillId="0" borderId="4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25" fillId="0" borderId="4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26" fillId="0" borderId="47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27" fillId="0" borderId="4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28" fillId="0" borderId="47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29" fillId="0" borderId="47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830" fillId="0" borderId="4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31" fillId="0" borderId="4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32" fillId="0" borderId="4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33" fillId="0" borderId="4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34" fillId="0" borderId="4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35" fillId="0" borderId="4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36" fillId="0" borderId="4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37" fillId="0" borderId="4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38" fillId="0" borderId="4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39" fillId="0" borderId="4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40" fillId="0" borderId="47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41" fillId="0" borderId="47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842" fillId="0" borderId="4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43" fillId="0" borderId="4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44" fillId="0" borderId="4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45" fillId="0" borderId="4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46" fillId="0" borderId="4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47" fillId="0" borderId="4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48" fillId="0" borderId="4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49" fillId="0" borderId="4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50" fillId="0" borderId="4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51" fillId="0" borderId="4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52" fillId="0" borderId="47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53" fillId="0" borderId="47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854" fillId="0" borderId="4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55" fillId="0" borderId="4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56" fillId="0" borderId="4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57" fillId="0" borderId="4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58" fillId="0" borderId="4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59" fillId="0" borderId="4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60" fillId="0" borderId="4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61" fillId="0" borderId="4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62" fillId="0" borderId="47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63" fillId="0" borderId="4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64" fillId="0" borderId="47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65" fillId="0" borderId="47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866" fillId="0" borderId="4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67" fillId="0" borderId="4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68" fillId="0" borderId="47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69" fillId="0" borderId="4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70" fillId="0" borderId="4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71" fillId="0" borderId="47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72" fillId="0" borderId="4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73" fillId="0" borderId="4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74" fillId="0" borderId="47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75" fillId="0" borderId="4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76" fillId="0" borderId="47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77" fillId="0" borderId="47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878" fillId="0" borderId="4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79" fillId="0" borderId="4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80" fillId="0" borderId="47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81" fillId="0" borderId="4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82" fillId="0" borderId="4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83" fillId="0" borderId="4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84" fillId="0" borderId="4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85" fillId="0" borderId="4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86" fillId="0" borderId="47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87" fillId="0" borderId="4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88" fillId="0" borderId="47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89" fillId="0" borderId="47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890" fillId="0" borderId="4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91" fillId="0" borderId="4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92" fillId="0" borderId="4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93" fillId="0" borderId="4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94" fillId="0" borderId="4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95" fillId="0" borderId="47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96" fillId="0" borderId="4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97" fillId="0" borderId="4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98" fillId="0" borderId="47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99" fillId="0" borderId="4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00" fillId="0" borderId="47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01" fillId="0" borderId="47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902" fillId="0" borderId="4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03" fillId="0" borderId="4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04" fillId="0" borderId="4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05" fillId="0" borderId="4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06" fillId="0" borderId="4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07" fillId="0" borderId="47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08" fillId="0" borderId="4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09" fillId="0" borderId="4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10" fillId="0" borderId="47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11" fillId="0" borderId="4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12" fillId="0" borderId="47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13" fillId="0" borderId="47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914" fillId="0" borderId="4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15" fillId="0" borderId="4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16" fillId="0" borderId="4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17" fillId="0" borderId="4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18" fillId="0" borderId="4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19" fillId="0" borderId="47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20" fillId="0" borderId="4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21" fillId="0" borderId="4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22" fillId="0" borderId="4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23" fillId="0" borderId="4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4" fillId="0" borderId="48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25" fillId="0" borderId="48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926" fillId="0" borderId="4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27" fillId="0" borderId="4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28" fillId="0" borderId="4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29" fillId="0" borderId="4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30" fillId="0" borderId="4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31" fillId="0" borderId="48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32" fillId="0" borderId="4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33" fillId="0" borderId="4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34" fillId="0" borderId="4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35" fillId="0" borderId="4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36" fillId="0" borderId="48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37" fillId="0" borderId="48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938" fillId="0" borderId="4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39" fillId="0" borderId="4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40" fillId="0" borderId="4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41" fillId="0" borderId="4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42" fillId="0" borderId="4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43" fillId="0" borderId="4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44" fillId="0" borderId="4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45" fillId="0" borderId="4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46" fillId="0" borderId="4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47" fillId="0" borderId="4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48" fillId="0" borderId="48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49" fillId="198" borderId="4826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50" fillId="199" borderId="4827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51" fillId="200" borderId="4828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952" fillId="0" borderId="4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53" fillId="0" borderId="4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54" fillId="0" borderId="4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55" fillId="201" borderId="4832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56" fillId="202" borderId="4833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57" fillId="0" borderId="4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58" fillId="0" borderId="4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59" fillId="0" borderId="4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60" fillId="203" borderId="4837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61" fillId="204" borderId="4838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62" fillId="0" borderId="4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63" fillId="0" borderId="4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64" fillId="0" borderId="4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65" fillId="205" borderId="4842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66" fillId="206" borderId="4843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67" fillId="0" borderId="4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8" fillId="0" borderId="4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9" fillId="0" borderId="4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0" fillId="0" borderId="4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71" fillId="0" borderId="48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72" fillId="0" borderId="4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3" fillId="0" borderId="4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74" fillId="0" borderId="4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75" fillId="0" borderId="4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6" fillId="0" borderId="48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77" fillId="0" borderId="48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78" fillId="0" borderId="4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9" fillId="0" borderId="48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80" fillId="0" borderId="48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81" fillId="0" borderId="48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82" fillId="0" borderId="4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3" fillId="0" borderId="4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4" fillId="0" borderId="4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5" fillId="0" borderId="4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6" fillId="0" borderId="48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87" fillId="0" borderId="48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988" fillId="0" borderId="4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89" fillId="0" borderId="4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90" fillId="0" borderId="4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91" fillId="0" borderId="4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92" fillId="0" borderId="4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93" fillId="0" borderId="48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94" fillId="0" borderId="4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95" fillId="0" borderId="4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96" fillId="0" borderId="4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97" fillId="0" borderId="4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98" fillId="0" borderId="48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99" fillId="0" borderId="48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000" fillId="0" borderId="4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01" fillId="0" borderId="4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02" fillId="0" borderId="4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03" fillId="0" borderId="4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04" fillId="0" borderId="4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05" fillId="0" borderId="4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006" fillId="0" borderId="4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07" fillId="0" borderId="4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08" fillId="0" borderId="4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09" fillId="0" borderId="4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0" fillId="0" borderId="48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011" fillId="0" borderId="48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012" fillId="0" borderId="4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13" fillId="0" borderId="4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14" fillId="0" borderId="4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15" fillId="0" borderId="4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16" fillId="0" borderId="4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17" fillId="0" borderId="4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018" fillId="0" borderId="4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19" fillId="0" borderId="4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20" fillId="0" borderId="4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21" fillId="0" borderId="4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22" fillId="0" borderId="48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023" fillId="0" borderId="49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024" fillId="0" borderId="4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25" fillId="0" borderId="4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26" fillId="0" borderId="4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27" fillId="0" borderId="4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28" fillId="0" borderId="4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29" fillId="0" borderId="4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030" fillId="0" borderId="4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31" fillId="0" borderId="4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32" fillId="0" borderId="4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33" fillId="0" borderId="4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4" fillId="0" borderId="49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035" fillId="0" borderId="49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036" fillId="0" borderId="4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37" fillId="0" borderId="4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38" fillId="0" borderId="4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39" fillId="0" borderId="4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40" fillId="0" borderId="4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41" fillId="0" borderId="49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042" fillId="0" borderId="4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43" fillId="0" borderId="4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44" fillId="0" borderId="4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45" fillId="0" borderId="4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6" fillId="0" borderId="49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047" fillId="0" borderId="49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048" fillId="0" borderId="4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49" fillId="0" borderId="4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50" fillId="0" borderId="49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51" fillId="0" borderId="4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52" fillId="0" borderId="4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53" fillId="0" borderId="4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054" fillId="0" borderId="4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55" fillId="0" borderId="4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56" fillId="0" borderId="4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57" fillId="0" borderId="4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8" fillId="0" borderId="49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059" fillId="0" borderId="49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060" fillId="0" borderId="4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61" fillId="0" borderId="4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62" fillId="0" borderId="4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63" fillId="0" borderId="4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64" fillId="0" borderId="4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65" fillId="0" borderId="49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066" fillId="0" borderId="4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67" fillId="0" borderId="4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68" fillId="0" borderId="4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69" fillId="0" borderId="4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0" fillId="0" borderId="49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071" fillId="0" borderId="49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072" fillId="0" borderId="4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73" fillId="0" borderId="4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74" fillId="0" borderId="49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75" fillId="0" borderId="4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76" fillId="0" borderId="4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77" fillId="0" borderId="4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078" fillId="0" borderId="4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79" fillId="0" borderId="4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80" fillId="0" borderId="49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81" fillId="0" borderId="4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2" fillId="0" borderId="49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083" fillId="0" borderId="49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084" fillId="0" borderId="4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85" fillId="0" borderId="4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86" fillId="0" borderId="4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87" fillId="0" borderId="4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88" fillId="0" borderId="4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89" fillId="0" borderId="4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090" fillId="0" borderId="4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91" fillId="0" borderId="4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92" fillId="0" borderId="4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93" fillId="0" borderId="4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4" fillId="0" borderId="49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095" fillId="0" borderId="49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096" fillId="0" borderId="4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97" fillId="0" borderId="4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98" fillId="0" borderId="49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99" fillId="0" borderId="4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00" fillId="0" borderId="4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01" fillId="0" borderId="4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02" fillId="0" borderId="4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03" fillId="0" borderId="4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04" fillId="0" borderId="4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05" fillId="0" borderId="4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6" fillId="0" borderId="49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07" fillId="0" borderId="49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108" fillId="0" borderId="4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09" fillId="0" borderId="4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10" fillId="0" borderId="4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11" fillId="0" borderId="4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12" fillId="0" borderId="4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13" fillId="0" borderId="4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14" fillId="0" borderId="4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15" fillId="0" borderId="4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16" fillId="0" borderId="4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17" fillId="0" borderId="4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8" fillId="0" borderId="49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19" fillId="0" borderId="49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120" fillId="0" borderId="4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21" fillId="0" borderId="4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22" fillId="0" borderId="4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23" fillId="0" borderId="5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24" fillId="0" borderId="5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25" fillId="0" borderId="50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26" fillId="0" borderId="5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27" fillId="0" borderId="5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28" fillId="0" borderId="50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29" fillId="0" borderId="5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30" fillId="0" borderId="50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31" fillId="0" borderId="50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132" fillId="0" borderId="5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33" fillId="0" borderId="5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34" fillId="0" borderId="5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35" fillId="0" borderId="5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36" fillId="0" borderId="5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37" fillId="0" borderId="5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38" fillId="0" borderId="5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39" fillId="0" borderId="5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40" fillId="0" borderId="50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41" fillId="0" borderId="5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2" fillId="0" borderId="50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43" fillId="0" borderId="50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144" fillId="0" borderId="5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45" fillId="0" borderId="5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46" fillId="0" borderId="5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47" fillId="0" borderId="5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48" fillId="0" borderId="5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49" fillId="0" borderId="5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50" fillId="0" borderId="5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51" fillId="0" borderId="5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52" fillId="0" borderId="5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53" fillId="0" borderId="5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4" fillId="0" borderId="50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55" fillId="207" borderId="5032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56" fillId="208" borderId="5033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57" fillId="209" borderId="5034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158" fillId="0" borderId="5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59" fillId="0" borderId="5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60" fillId="0" borderId="50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61" fillId="210" borderId="5038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62" fillId="211" borderId="5039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63" fillId="0" borderId="5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64" fillId="0" borderId="5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65" fillId="0" borderId="50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66" fillId="212" borderId="5043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67" fillId="213" borderId="5044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68" fillId="0" borderId="5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69" fillId="0" borderId="5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70" fillId="0" borderId="50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71" fillId="214" borderId="5048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72" fillId="215" borderId="5049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73" fillId="0" borderId="5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4" fillId="0" borderId="5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5" fillId="0" borderId="5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6" fillId="0" borderId="50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77" fillId="0" borderId="50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78" fillId="0" borderId="5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9" fillId="0" borderId="5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80" fillId="0" borderId="50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81" fillId="0" borderId="5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2" fillId="0" borderId="50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83" fillId="0" borderId="50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84" fillId="0" borderId="5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5" fillId="0" borderId="50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86" fillId="0" borderId="50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87" fillId="0" borderId="50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88" fillId="0" borderId="5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9" fillId="0" borderId="5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0" fillId="0" borderId="5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1" fillId="0" borderId="5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2" fillId="0" borderId="50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93" fillId="0" borderId="50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194" fillId="0" borderId="5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95" fillId="0" borderId="5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96" fillId="0" borderId="50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97" fillId="0" borderId="5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98" fillId="0" borderId="5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99" fillId="0" borderId="50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00" fillId="0" borderId="5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01" fillId="0" borderId="5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02" fillId="0" borderId="5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03" fillId="0" borderId="5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04" fillId="0" borderId="50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205" fillId="0" borderId="50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206" fillId="0" borderId="5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07" fillId="0" borderId="5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08" fillId="0" borderId="50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09" fillId="0" borderId="5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10" fillId="0" borderId="5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11" fillId="0" borderId="50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12" fillId="0" borderId="5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13" fillId="0" borderId="5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14" fillId="0" borderId="50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15" fillId="0" borderId="5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16" fillId="0" borderId="50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217" fillId="0" borderId="50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218" fillId="0" borderId="5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19" fillId="0" borderId="5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20" fillId="0" borderId="50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21" fillId="0" borderId="5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22" fillId="0" borderId="5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23" fillId="0" borderId="5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24" fillId="0" borderId="5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25" fillId="0" borderId="5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26" fillId="0" borderId="5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27" fillId="0" borderId="5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28" fillId="0" borderId="51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229" fillId="0" borderId="51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230" fillId="0" borderId="5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31" fillId="0" borderId="5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32" fillId="0" borderId="5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33" fillId="0" borderId="5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34" fillId="0" borderId="5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35" fillId="0" borderId="5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36" fillId="0" borderId="5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37" fillId="0" borderId="5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38" fillId="0" borderId="5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39" fillId="0" borderId="5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40" fillId="0" borderId="51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241" fillId="0" borderId="51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242" fillId="0" borderId="5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43" fillId="0" borderId="5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44" fillId="0" borderId="5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45" fillId="0" borderId="5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46" fillId="0" borderId="5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47" fillId="0" borderId="5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48" fillId="0" borderId="5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49" fillId="0" borderId="5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50" fillId="0" borderId="5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51" fillId="0" borderId="5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52" fillId="0" borderId="51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253" fillId="0" borderId="51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254" fillId="0" borderId="5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55" fillId="0" borderId="5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56" fillId="0" borderId="5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57" fillId="0" borderId="5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58" fillId="0" borderId="5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59" fillId="0" borderId="5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60" fillId="0" borderId="5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61" fillId="0" borderId="5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62" fillId="0" borderId="5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63" fillId="0" borderId="5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64" fillId="0" borderId="51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265" fillId="0" borderId="51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266" fillId="0" borderId="5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67" fillId="0" borderId="5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68" fillId="0" borderId="5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69" fillId="0" borderId="5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70" fillId="0" borderId="5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71" fillId="0" borderId="5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72" fillId="0" borderId="5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73" fillId="0" borderId="5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74" fillId="0" borderId="5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75" fillId="0" borderId="5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76" fillId="0" borderId="51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277" fillId="0" borderId="51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278" fillId="0" borderId="5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79" fillId="0" borderId="5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80" fillId="0" borderId="5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81" fillId="0" borderId="5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82" fillId="0" borderId="5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83" fillId="0" borderId="5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84" fillId="0" borderId="5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85" fillId="0" borderId="5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86" fillId="0" borderId="5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87" fillId="0" borderId="5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88" fillId="0" borderId="51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289" fillId="0" borderId="51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290" fillId="0" borderId="5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91" fillId="0" borderId="5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92" fillId="0" borderId="5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93" fillId="0" borderId="5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94" fillId="0" borderId="5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95" fillId="0" borderId="5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96" fillId="0" borderId="5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97" fillId="0" borderId="5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98" fillId="0" borderId="5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99" fillId="0" borderId="5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00" fillId="0" borderId="51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01" fillId="0" borderId="51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302" fillId="0" borderId="5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03" fillId="0" borderId="5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04" fillId="0" borderId="5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05" fillId="0" borderId="5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06" fillId="0" borderId="5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07" fillId="0" borderId="5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08" fillId="0" borderId="5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09" fillId="0" borderId="5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10" fillId="0" borderId="5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11" fillId="0" borderId="5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12" fillId="0" borderId="51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13" fillId="0" borderId="51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314" fillId="0" borderId="5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15" fillId="0" borderId="5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16" fillId="0" borderId="5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17" fillId="0" borderId="5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18" fillId="0" borderId="5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19" fillId="0" borderId="5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20" fillId="0" borderId="5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21" fillId="0" borderId="5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22" fillId="0" borderId="5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23" fillId="0" borderId="5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24" fillId="0" borderId="52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25" fillId="0" borderId="52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326" fillId="0" borderId="5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27" fillId="0" borderId="5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28" fillId="0" borderId="5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29" fillId="0" borderId="5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30" fillId="0" borderId="5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31" fillId="0" borderId="5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32" fillId="0" borderId="5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33" fillId="0" borderId="5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34" fillId="0" borderId="5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35" fillId="0" borderId="5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36" fillId="0" borderId="52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37" fillId="0" borderId="52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338" fillId="0" borderId="5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39" fillId="0" borderId="5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40" fillId="0" borderId="5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41" fillId="0" borderId="5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42" fillId="0" borderId="5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43" fillId="0" borderId="5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44" fillId="0" borderId="5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45" fillId="0" borderId="5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46" fillId="0" borderId="5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47" fillId="0" borderId="5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48" fillId="0" borderId="52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49" fillId="0" borderId="52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350" fillId="0" borderId="5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51" fillId="0" borderId="5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52" fillId="0" borderId="5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53" fillId="0" borderId="5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54" fillId="0" borderId="5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55" fillId="0" borderId="5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56" fillId="0" borderId="5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57" fillId="0" borderId="5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58" fillId="0" borderId="5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59" fillId="0" borderId="5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60" fillId="0" borderId="52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61" fillId="216" borderId="5238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62" fillId="217" borderId="5239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63" fillId="218" borderId="5240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364" fillId="0" borderId="5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65" fillId="0" borderId="5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66" fillId="0" borderId="5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67" fillId="219" borderId="5244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68" fillId="220" borderId="5245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69" fillId="0" borderId="5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70" fillId="0" borderId="5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71" fillId="0" borderId="5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72" fillId="221" borderId="5249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73" fillId="222" borderId="5250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74" fillId="0" borderId="5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75" fillId="0" borderId="5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76" fillId="0" borderId="52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77" fillId="223" borderId="5254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78" fillId="224" borderId="5255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79" fillId="0" borderId="5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80" fillId="0" borderId="5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81" fillId="0" borderId="5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82" fillId="0" borderId="52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83" fillId="0" borderId="52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84" fillId="0" borderId="5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85" fillId="0" borderId="52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86" fillId="0" borderId="52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87" fillId="0" borderId="5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88" fillId="0" borderId="5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89" fillId="0" borderId="5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90" fillId="0" borderId="5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91" fillId="0" borderId="52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92" fillId="0" borderId="52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93" fillId="0" borderId="52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94" fillId="0" borderId="5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95" fillId="0" borderId="5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96" fillId="0" borderId="5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97" fillId="0" borderId="5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98" fillId="0" borderId="52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99" fillId="0" borderId="52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400" fillId="0" borderId="5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01" fillId="0" borderId="5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02" fillId="0" borderId="5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03" fillId="0" borderId="5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04" fillId="0" borderId="5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05" fillId="0" borderId="5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06" fillId="0" borderId="5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07" fillId="0" borderId="5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08" fillId="0" borderId="5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09" fillId="0" borderId="5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10" fillId="0" borderId="52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411" fillId="0" borderId="52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412" fillId="0" borderId="5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13" fillId="0" borderId="5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14" fillId="0" borderId="5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15" fillId="0" borderId="5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16" fillId="0" borderId="5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17" fillId="0" borderId="5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18" fillId="0" borderId="5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19" fillId="0" borderId="5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20" fillId="0" borderId="5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21" fillId="0" borderId="5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22" fillId="0" borderId="52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423" fillId="0" borderId="53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424" fillId="0" borderId="5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25" fillId="0" borderId="5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26" fillId="0" borderId="5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27" fillId="0" borderId="5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28" fillId="0" borderId="5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29" fillId="0" borderId="5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30" fillId="0" borderId="5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31" fillId="0" borderId="5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32" fillId="0" borderId="5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33" fillId="0" borderId="5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34" fillId="0" borderId="53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435" fillId="0" borderId="53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436" fillId="0" borderId="5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37" fillId="0" borderId="5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38" fillId="0" borderId="5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39" fillId="0" borderId="5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40" fillId="0" borderId="5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41" fillId="0" borderId="5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42" fillId="0" borderId="5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43" fillId="0" borderId="5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44" fillId="0" borderId="5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45" fillId="0" borderId="5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46" fillId="0" borderId="53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447" fillId="0" borderId="53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448" fillId="0" borderId="5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49" fillId="0" borderId="5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50" fillId="0" borderId="5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51" fillId="0" borderId="5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52" fillId="0" borderId="5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53" fillId="0" borderId="5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54" fillId="0" borderId="5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55" fillId="0" borderId="5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56" fillId="0" borderId="5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57" fillId="0" borderId="5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58" fillId="0" borderId="53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459" fillId="0" borderId="53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460" fillId="0" borderId="5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61" fillId="0" borderId="5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62" fillId="0" borderId="5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63" fillId="0" borderId="5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64" fillId="0" borderId="5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65" fillId="0" borderId="5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66" fillId="0" borderId="5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67" fillId="0" borderId="5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68" fillId="0" borderId="5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69" fillId="0" borderId="5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70" fillId="0" borderId="53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471" fillId="0" borderId="53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472" fillId="0" borderId="5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73" fillId="0" borderId="5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74" fillId="0" borderId="5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75" fillId="0" borderId="5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76" fillId="0" borderId="5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77" fillId="0" borderId="5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78" fillId="0" borderId="5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79" fillId="0" borderId="5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80" fillId="0" borderId="5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81" fillId="0" borderId="5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82" fillId="0" borderId="53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483" fillId="0" borderId="53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484" fillId="0" borderId="5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85" fillId="0" borderId="5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86" fillId="0" borderId="5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87" fillId="0" borderId="5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88" fillId="0" borderId="5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89" fillId="0" borderId="5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90" fillId="0" borderId="5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91" fillId="0" borderId="5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92" fillId="0" borderId="5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93" fillId="0" borderId="5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94" fillId="0" borderId="53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495" fillId="0" borderId="53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496" fillId="0" borderId="5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97" fillId="0" borderId="5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98" fillId="0" borderId="5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99" fillId="0" borderId="5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00" fillId="0" borderId="5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01" fillId="0" borderId="5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02" fillId="0" borderId="5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03" fillId="0" borderId="5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04" fillId="0" borderId="5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05" fillId="0" borderId="5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06" fillId="0" borderId="53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07" fillId="0" borderId="53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508" fillId="0" borderId="5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09" fillId="0" borderId="5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10" fillId="0" borderId="5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11" fillId="0" borderId="5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12" fillId="0" borderId="5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13" fillId="0" borderId="5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14" fillId="0" borderId="5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15" fillId="0" borderId="5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16" fillId="0" borderId="5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17" fillId="0" borderId="5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18" fillId="0" borderId="53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19" fillId="0" borderId="53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520" fillId="0" borderId="5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21" fillId="0" borderId="5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22" fillId="0" borderId="5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23" fillId="0" borderId="5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24" fillId="0" borderId="5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25" fillId="0" borderId="54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26" fillId="0" borderId="5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27" fillId="0" borderId="5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28" fillId="0" borderId="5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29" fillId="0" borderId="5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30" fillId="0" borderId="54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31" fillId="0" borderId="54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532" fillId="0" borderId="5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33" fillId="0" borderId="5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34" fillId="0" borderId="5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35" fillId="0" borderId="5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36" fillId="0" borderId="5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37" fillId="0" borderId="5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38" fillId="0" borderId="5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39" fillId="0" borderId="5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40" fillId="0" borderId="5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41" fillId="0" borderId="5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42" fillId="0" borderId="54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43" fillId="0" borderId="54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544" fillId="0" borderId="5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45" fillId="0" borderId="5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46" fillId="0" borderId="5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47" fillId="0" borderId="5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48" fillId="0" borderId="5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49" fillId="0" borderId="5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50" fillId="0" borderId="5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51" fillId="0" borderId="5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52" fillId="0" borderId="5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53" fillId="0" borderId="5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54" fillId="0" borderId="54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55" fillId="0" borderId="54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556" fillId="0" borderId="5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57" fillId="0" borderId="5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58" fillId="0" borderId="5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59" fillId="0" borderId="5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60" fillId="0" borderId="5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61" fillId="0" borderId="54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62" fillId="0" borderId="5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63" fillId="0" borderId="5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64" fillId="0" borderId="5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65" fillId="0" borderId="5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66" fillId="0" borderId="54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67" fillId="225" borderId="5444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68" fillId="226" borderId="5445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69" fillId="227" borderId="5446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570" fillId="0" borderId="5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71" fillId="0" borderId="5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72" fillId="0" borderId="5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73" fillId="228" borderId="5450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74" fillId="229" borderId="5451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75" fillId="0" borderId="5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76" fillId="0" borderId="5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77" fillId="0" borderId="5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78" fillId="230" borderId="5455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79" fillId="231" borderId="5456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80" fillId="0" borderId="5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81" fillId="0" borderId="5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82" fillId="0" borderId="5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83" fillId="232" borderId="5460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84" fillId="233" borderId="5461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85" fillId="0" borderId="5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86" fillId="0" borderId="5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87" fillId="0" borderId="5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88" fillId="0" borderId="5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89" fillId="0" borderId="5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90" fillId="0" borderId="5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91" fillId="0" borderId="5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92" fillId="0" borderId="5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93" fillId="0" borderId="5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94" fillId="0" borderId="54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95" fillId="0" borderId="54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96" fillId="0" borderId="54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97" fillId="0" borderId="5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98" fillId="0" borderId="5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99" fillId="0" borderId="5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00" fillId="0" borderId="54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01" fillId="0" borderId="54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602" fillId="0" borderId="5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03" fillId="0" borderId="5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04" fillId="0" borderId="5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05" fillId="0" borderId="5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06" fillId="0" borderId="5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07" fillId="0" borderId="5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08" fillId="0" borderId="5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09" fillId="0" borderId="54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10" fillId="0" borderId="54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611" fillId="0" borderId="5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12" fillId="0" borderId="5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13" fillId="0" borderId="5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14" fillId="0" borderId="5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15" fillId="0" borderId="5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16" fillId="0" borderId="5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17" fillId="0" borderId="5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18" fillId="0" borderId="54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19" fillId="0" borderId="54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620" fillId="0" borderId="5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21" fillId="0" borderId="5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22" fillId="0" borderId="5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23" fillId="0" borderId="5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24" fillId="0" borderId="5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25" fillId="0" borderId="55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26" fillId="0" borderId="5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27" fillId="0" borderId="55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28" fillId="0" borderId="55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629" fillId="0" borderId="5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30" fillId="0" borderId="5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31" fillId="0" borderId="55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32" fillId="0" borderId="5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33" fillId="0" borderId="5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34" fillId="0" borderId="5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35" fillId="0" borderId="5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36" fillId="0" borderId="55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37" fillId="0" borderId="55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638" fillId="0" borderId="5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39" fillId="0" borderId="5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40" fillId="0" borderId="55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41" fillId="0" borderId="5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42" fillId="0" borderId="5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43" fillId="0" borderId="55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44" fillId="0" borderId="5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45" fillId="0" borderId="55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46" fillId="0" borderId="55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647" fillId="0" borderId="5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48" fillId="0" borderId="5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49" fillId="0" borderId="5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50" fillId="0" borderId="5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51" fillId="0" borderId="5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52" fillId="0" borderId="5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53" fillId="0" borderId="5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54" fillId="0" borderId="55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55" fillId="0" borderId="55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656" fillId="0" borderId="5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57" fillId="0" borderId="5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58" fillId="0" borderId="5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59" fillId="0" borderId="5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60" fillId="0" borderId="5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61" fillId="0" borderId="55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62" fillId="0" borderId="5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63" fillId="0" borderId="55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64" fillId="0" borderId="55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665" fillId="0" borderId="5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66" fillId="0" borderId="5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67" fillId="0" borderId="55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68" fillId="0" borderId="5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69" fillId="0" borderId="5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70" fillId="0" borderId="5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71" fillId="0" borderId="5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72" fillId="0" borderId="55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73" fillId="0" borderId="55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674" fillId="0" borderId="5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75" fillId="0" borderId="5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76" fillId="0" borderId="5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77" fillId="0" borderId="5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78" fillId="0" borderId="5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79" fillId="0" borderId="5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80" fillId="0" borderId="5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81" fillId="0" borderId="55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82" fillId="0" borderId="55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683" fillId="0" borderId="5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84" fillId="0" borderId="5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85" fillId="0" borderId="55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86" fillId="0" borderId="5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87" fillId="0" borderId="5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88" fillId="0" borderId="55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89" fillId="0" borderId="5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90" fillId="0" borderId="55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91" fillId="0" borderId="55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692" fillId="0" borderId="5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93" fillId="0" borderId="5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94" fillId="0" borderId="5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95" fillId="0" borderId="5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96" fillId="0" borderId="5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97" fillId="0" borderId="5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98" fillId="0" borderId="5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99" fillId="0" borderId="55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00" fillId="0" borderId="55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701" fillId="0" borderId="5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02" fillId="0" borderId="5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03" fillId="0" borderId="55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04" fillId="0" borderId="5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05" fillId="0" borderId="5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06" fillId="0" borderId="5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07" fillId="0" borderId="5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08" fillId="0" borderId="55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09" fillId="0" borderId="55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710" fillId="0" borderId="5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11" fillId="0" borderId="5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12" fillId="0" borderId="5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13" fillId="0" borderId="5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14" fillId="0" borderId="5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15" fillId="0" borderId="55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16" fillId="0" borderId="5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17" fillId="0" borderId="55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18" fillId="0" borderId="55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719" fillId="0" borderId="5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20" fillId="0" borderId="5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21" fillId="0" borderId="55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22" fillId="0" borderId="5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23" fillId="0" borderId="5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24" fillId="0" borderId="5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25" fillId="0" borderId="5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26" fillId="0" borderId="56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27" fillId="234" borderId="5604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28" fillId="235" borderId="5605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29" fillId="236" borderId="5606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730" fillId="0" borderId="5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31" fillId="0" borderId="5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32" fillId="0" borderId="5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33" fillId="237" borderId="5610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34" fillId="238" borderId="5611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35" fillId="0" borderId="5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36" fillId="0" borderId="5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37" fillId="0" borderId="56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38" fillId="239" borderId="5615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39" fillId="240" borderId="5616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40" fillId="0" borderId="5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41" fillId="0" borderId="5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42" fillId="0" borderId="5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43" fillId="0" borderId="56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44" fillId="0" borderId="5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45" fillId="0" borderId="5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46" fillId="0" borderId="56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47" fillId="0" borderId="5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48" fillId="0" borderId="5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49" fillId="0" borderId="56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50" fillId="0" borderId="56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51" fillId="0" borderId="56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52" fillId="0" borderId="5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53" fillId="0" borderId="5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54" fillId="0" borderId="5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55" fillId="0" borderId="56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56" fillId="0" borderId="56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757" fillId="0" borderId="5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58" fillId="0" borderId="5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59" fillId="0" borderId="5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60" fillId="0" borderId="5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61" fillId="0" borderId="5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62" fillId="0" borderId="5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63" fillId="0" borderId="5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64" fillId="0" borderId="56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65" fillId="0" borderId="56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766" fillId="0" borderId="5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67" fillId="0" borderId="5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68" fillId="0" borderId="5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69" fillId="0" borderId="5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70" fillId="0" borderId="5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71" fillId="0" borderId="5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72" fillId="0" borderId="5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73" fillId="0" borderId="56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74" fillId="0" borderId="56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775" fillId="0" borderId="5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76" fillId="0" borderId="5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77" fillId="0" borderId="5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78" fillId="0" borderId="5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79" fillId="0" borderId="5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80" fillId="0" borderId="5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81" fillId="0" borderId="5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82" fillId="0" borderId="56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83" fillId="0" borderId="56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784" fillId="0" borderId="5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85" fillId="0" borderId="5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86" fillId="0" borderId="5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87" fillId="0" borderId="5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88" fillId="0" borderId="5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89" fillId="0" borderId="5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90" fillId="0" borderId="5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91" fillId="0" borderId="56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92" fillId="0" borderId="56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793" fillId="0" borderId="5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94" fillId="0" borderId="5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95" fillId="0" borderId="56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96" fillId="0" borderId="5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97" fillId="0" borderId="5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98" fillId="0" borderId="56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99" fillId="0" borderId="5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00" fillId="0" borderId="56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01" fillId="0" borderId="56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802" fillId="0" borderId="5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03" fillId="0" borderId="5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04" fillId="0" borderId="56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05" fillId="0" borderId="5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06" fillId="0" borderId="5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07" fillId="0" borderId="56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08" fillId="0" borderId="5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09" fillId="0" borderId="56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10" fillId="0" borderId="56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811" fillId="0" borderId="5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12" fillId="0" borderId="5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13" fillId="0" borderId="56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14" fillId="0" borderId="5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15" fillId="0" borderId="5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16" fillId="0" borderId="56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17" fillId="0" borderId="5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18" fillId="0" borderId="56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19" fillId="0" borderId="56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820" fillId="0" borderId="5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21" fillId="0" borderId="5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22" fillId="0" borderId="5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23" fillId="0" borderId="5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24" fillId="0" borderId="5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25" fillId="0" borderId="57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26" fillId="0" borderId="5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27" fillId="0" borderId="57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28" fillId="0" borderId="57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829" fillId="0" borderId="5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30" fillId="0" borderId="5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31" fillId="0" borderId="5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32" fillId="0" borderId="5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33" fillId="0" borderId="5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34" fillId="0" borderId="5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35" fillId="0" borderId="5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36" fillId="0" borderId="57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37" fillId="0" borderId="57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838" fillId="0" borderId="5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39" fillId="0" borderId="5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40" fillId="0" borderId="57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41" fillId="0" borderId="5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42" fillId="0" borderId="5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43" fillId="0" borderId="5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44" fillId="0" borderId="5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45" fillId="0" borderId="57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46" fillId="0" borderId="57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847" fillId="0" borderId="5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48" fillId="0" borderId="5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49" fillId="0" borderId="57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50" fillId="0" borderId="5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51" fillId="0" borderId="5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52" fillId="0" borderId="5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53" fillId="0" borderId="5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54" fillId="0" borderId="57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55" fillId="0" borderId="57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856" fillId="0" borderId="5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57" fillId="0" borderId="5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58" fillId="0" borderId="57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59" fillId="0" borderId="5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60" fillId="0" borderId="5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61" fillId="0" borderId="57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62" fillId="0" borderId="5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63" fillId="0" borderId="57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64" fillId="0" borderId="57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865" fillId="0" borderId="5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66" fillId="0" borderId="5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67" fillId="0" borderId="57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68" fillId="0" borderId="5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69" fillId="0" borderId="5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70" fillId="0" borderId="57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71" fillId="0" borderId="5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72" fillId="0" borderId="57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73" fillId="0" borderId="57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874" fillId="0" borderId="5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75" fillId="0" borderId="5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76" fillId="0" borderId="5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77" fillId="0" borderId="5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78" fillId="0" borderId="5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79" fillId="0" borderId="5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80" fillId="0" borderId="5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81" fillId="0" borderId="57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82" fillId="241" borderId="5759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83" fillId="242" borderId="5760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84" fillId="243" borderId="5761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885" fillId="0" borderId="5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86" fillId="0" borderId="5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87" fillId="0" borderId="5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88" fillId="244" borderId="5765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89" fillId="245" borderId="5766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90" fillId="0" borderId="5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91" fillId="0" borderId="5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92" fillId="0" borderId="5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93" fillId="246" borderId="5770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94" fillId="247" borderId="5771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95" fillId="0" borderId="5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96" fillId="0" borderId="5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97" fillId="0" borderId="5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98" fillId="0" borderId="57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99" fillId="0" borderId="5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00" fillId="0" borderId="5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01" fillId="0" borderId="57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02" fillId="0" borderId="57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03" fillId="0" borderId="5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04" fillId="0" borderId="57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05" fillId="0" borderId="57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06" fillId="0" borderId="57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07" fillId="0" borderId="5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08" fillId="0" borderId="5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09" fillId="0" borderId="5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10" fillId="0" borderId="57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11" fillId="0" borderId="57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912" fillId="0" borderId="5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13" fillId="0" borderId="5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14" fillId="0" borderId="57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15" fillId="0" borderId="5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16" fillId="0" borderId="5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17" fillId="0" borderId="57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18" fillId="0" borderId="5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19" fillId="0" borderId="57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20" fillId="0" borderId="57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921" fillId="0" borderId="5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22" fillId="0" borderId="5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23" fillId="0" borderId="58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24" fillId="0" borderId="5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25" fillId="0" borderId="5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26" fillId="0" borderId="58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27" fillId="0" borderId="5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28" fillId="0" borderId="58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29" fillId="0" borderId="58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930" fillId="0" borderId="5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31" fillId="0" borderId="5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32" fillId="0" borderId="5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33" fillId="0" borderId="5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34" fillId="0" borderId="5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35" fillId="0" borderId="58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36" fillId="0" borderId="5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37" fillId="0" borderId="58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38" fillId="0" borderId="58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939" fillId="0" borderId="5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40" fillId="0" borderId="5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41" fillId="0" borderId="58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42" fillId="0" borderId="5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43" fillId="0" borderId="5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44" fillId="0" borderId="5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45" fillId="0" borderId="5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46" fillId="0" borderId="58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47" fillId="0" borderId="58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948" fillId="0" borderId="5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49" fillId="0" borderId="5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50" fillId="0" borderId="58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51" fillId="0" borderId="5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52" fillId="0" borderId="5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53" fillId="0" borderId="5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54" fillId="0" borderId="5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55" fillId="0" borderId="58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56" fillId="0" borderId="58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957" fillId="0" borderId="5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58" fillId="0" borderId="5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59" fillId="0" borderId="5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60" fillId="0" borderId="5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61" fillId="0" borderId="5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62" fillId="0" borderId="5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63" fillId="0" borderId="5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4" fillId="0" borderId="58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65" fillId="0" borderId="58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966" fillId="0" borderId="5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67" fillId="0" borderId="5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68" fillId="0" borderId="58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69" fillId="0" borderId="5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70" fillId="0" borderId="5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71" fillId="0" borderId="58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72" fillId="0" borderId="5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73" fillId="0" borderId="58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74" fillId="0" borderId="58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975" fillId="0" borderId="5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76" fillId="0" borderId="5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77" fillId="0" borderId="58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78" fillId="0" borderId="5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79" fillId="0" borderId="5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80" fillId="0" borderId="58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81" fillId="0" borderId="5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2" fillId="0" borderId="58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83" fillId="0" borderId="58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984" fillId="0" borderId="5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85" fillId="0" borderId="5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86" fillId="0" borderId="58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87" fillId="0" borderId="5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88" fillId="0" borderId="5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89" fillId="0" borderId="58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90" fillId="0" borderId="5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91" fillId="0" borderId="58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92" fillId="0" borderId="58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993" fillId="0" borderId="5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94" fillId="0" borderId="5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95" fillId="0" borderId="58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96" fillId="0" borderId="5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97" fillId="0" borderId="5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98" fillId="0" borderId="58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99" fillId="0" borderId="5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00" fillId="0" borderId="58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01" fillId="0" borderId="58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002" fillId="0" borderId="5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03" fillId="0" borderId="5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04" fillId="0" borderId="58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05" fillId="0" borderId="5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06" fillId="0" borderId="5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07" fillId="0" borderId="5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08" fillId="0" borderId="5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09" fillId="0" borderId="58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10" fillId="0" borderId="58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011" fillId="0" borderId="5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12" fillId="0" borderId="5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13" fillId="0" borderId="58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14" fillId="0" borderId="5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15" fillId="0" borderId="5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16" fillId="0" borderId="58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17" fillId="0" borderId="5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18" fillId="0" borderId="58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19" fillId="0" borderId="58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020" fillId="0" borderId="5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21" fillId="0" borderId="5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22" fillId="0" borderId="5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23" fillId="0" borderId="5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24" fillId="0" borderId="5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25" fillId="0" borderId="59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26" fillId="0" borderId="5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27" fillId="0" borderId="59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28" fillId="0" borderId="59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029" fillId="0" borderId="5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30" fillId="0" borderId="5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31" fillId="0" borderId="59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32" fillId="0" borderId="5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33" fillId="0" borderId="5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34" fillId="0" borderId="59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35" fillId="0" borderId="5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36" fillId="0" borderId="59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37" fillId="248" borderId="5914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38" fillId="249" borderId="5915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39" fillId="250" borderId="5916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040" fillId="0" borderId="5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41" fillId="0" borderId="5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42" fillId="0" borderId="5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43" fillId="251" borderId="5920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44" fillId="252" borderId="5921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45" fillId="0" borderId="5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46" fillId="0" borderId="5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47" fillId="0" borderId="5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48" fillId="253" borderId="5925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49" fillId="254" borderId="5926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50" fillId="0" borderId="5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51" fillId="0" borderId="5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52" fillId="0" borderId="5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53" fillId="0" borderId="5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54" fillId="0" borderId="59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55" fillId="0" borderId="5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56" fillId="0" borderId="5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57" fillId="0" borderId="59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58" fillId="0" borderId="5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59" fillId="0" borderId="59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60" fillId="0" borderId="59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61" fillId="0" borderId="59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62" fillId="0" borderId="5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63" fillId="0" borderId="5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64" fillId="0" borderId="5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65" fillId="0" borderId="59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66" fillId="0" borderId="59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067" fillId="0" borderId="5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68" fillId="0" borderId="5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69" fillId="0" borderId="59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70" fillId="0" borderId="5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71" fillId="0" borderId="5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72" fillId="0" borderId="59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73" fillId="0" borderId="5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74" fillId="0" borderId="59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75" fillId="0" borderId="59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076" fillId="0" borderId="5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77" fillId="0" borderId="5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78" fillId="0" borderId="59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79" fillId="0" borderId="5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80" fillId="0" borderId="5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81" fillId="0" borderId="59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82" fillId="0" borderId="5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3" fillId="0" borderId="59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84" fillId="0" borderId="59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085" fillId="0" borderId="5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86" fillId="0" borderId="5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87" fillId="0" borderId="59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88" fillId="0" borderId="5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89" fillId="0" borderId="5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90" fillId="0" borderId="59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91" fillId="0" borderId="5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92" fillId="0" borderId="59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93" fillId="0" borderId="59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094" fillId="0" borderId="5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95" fillId="0" borderId="5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96" fillId="0" borderId="59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97" fillId="0" borderId="5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98" fillId="0" borderId="5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99" fillId="0" borderId="59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00" fillId="0" borderId="5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01" fillId="0" borderId="59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102" fillId="0" borderId="59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103" fillId="0" borderId="5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04" fillId="0" borderId="5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05" fillId="0" borderId="59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06" fillId="0" borderId="5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07" fillId="0" borderId="5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08" fillId="0" borderId="59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09" fillId="0" borderId="5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10" fillId="0" borderId="59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111" fillId="0" borderId="59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112" fillId="0" borderId="5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13" fillId="0" borderId="5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14" fillId="0" borderId="59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15" fillId="0" borderId="5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16" fillId="0" borderId="5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17" fillId="0" borderId="59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18" fillId="0" borderId="5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19" fillId="0" borderId="59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120" fillId="0" borderId="59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121" fillId="0" borderId="5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22" fillId="0" borderId="5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23" fillId="0" borderId="60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24" fillId="0" borderId="6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25" fillId="0" borderId="6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26" fillId="0" borderId="60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27" fillId="0" borderId="6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28" fillId="0" borderId="60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129" fillId="0" borderId="60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130" fillId="0" borderId="6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31" fillId="0" borderId="6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32" fillId="0" borderId="60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33" fillId="0" borderId="6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34" fillId="0" borderId="6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35" fillId="0" borderId="60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36" fillId="0" borderId="6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37" fillId="0" borderId="60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138" fillId="0" borderId="60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139" fillId="0" borderId="6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40" fillId="0" borderId="6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41" fillId="0" borderId="60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42" fillId="0" borderId="6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43" fillId="0" borderId="6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44" fillId="0" borderId="60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45" fillId="0" borderId="6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46" fillId="0" borderId="60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147" fillId="0" borderId="60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148" fillId="0" borderId="6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49" fillId="0" borderId="6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50" fillId="0" borderId="60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51" fillId="0" borderId="6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52" fillId="0" borderId="6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53" fillId="0" borderId="60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54" fillId="0" borderId="6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5" fillId="0" borderId="60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156" fillId="0" borderId="60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157" fillId="0" borderId="6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58" fillId="0" borderId="6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59" fillId="0" borderId="60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60" fillId="0" borderId="6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61" fillId="0" borderId="6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62" fillId="0" borderId="60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63" fillId="0" borderId="6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4" fillId="0" borderId="60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165" fillId="0" borderId="60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166" fillId="0" borderId="6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67" fillId="0" borderId="6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68" fillId="0" borderId="60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69" fillId="0" borderId="6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70" fillId="0" borderId="6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71" fillId="0" borderId="60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72" fillId="0" borderId="6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73" fillId="0" borderId="60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174" fillId="0" borderId="60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175" fillId="0" borderId="6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76" fillId="0" borderId="6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77" fillId="0" borderId="60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78" fillId="0" borderId="6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79" fillId="0" borderId="6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80" fillId="0" borderId="60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81" fillId="0" borderId="6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82" fillId="0" borderId="60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183" fillId="0" borderId="60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184" fillId="0" borderId="6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85" fillId="0" borderId="6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86" fillId="0" borderId="60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87" fillId="0" borderId="6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88" fillId="0" borderId="6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89" fillId="0" borderId="60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90" fillId="0" borderId="6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91" fillId="0" borderId="60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192" fillId="255" borderId="6069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193" fillId="256" borderId="6070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194" fillId="257" borderId="6071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195" fillId="0" borderId="6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96" fillId="0" borderId="6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97" fillId="0" borderId="60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98" fillId="258" borderId="6075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99" fillId="259" borderId="6076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00" fillId="0" borderId="6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01" fillId="0" borderId="6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02" fillId="0" borderId="6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03" fillId="260" borderId="6080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04" fillId="261" borderId="6081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05" fillId="0" borderId="6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06" fillId="0" borderId="6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07" fillId="0" borderId="6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08" fillId="0" borderId="60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09" fillId="0" borderId="60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10" fillId="0" borderId="6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11" fillId="0" borderId="60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12" fillId="0" borderId="60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13" fillId="0" borderId="6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14" fillId="0" borderId="60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15" fillId="0" borderId="60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16" fillId="0" borderId="60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17" fillId="0" borderId="6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18" fillId="0" borderId="6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19" fillId="0" borderId="6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20" fillId="0" borderId="60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21" fillId="0" borderId="60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222" fillId="0" borderId="6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23" fillId="0" borderId="6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24" fillId="0" borderId="6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25" fillId="0" borderId="6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26" fillId="0" borderId="6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27" fillId="0" borderId="6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28" fillId="0" borderId="6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29" fillId="0" borderId="61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30" fillId="0" borderId="61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231" fillId="0" borderId="6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32" fillId="0" borderId="6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33" fillId="0" borderId="6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34" fillId="0" borderId="6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35" fillId="0" borderId="6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36" fillId="0" borderId="6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37" fillId="0" borderId="6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38" fillId="0" borderId="61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39" fillId="0" borderId="61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240" fillId="0" borderId="6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41" fillId="0" borderId="6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42" fillId="0" borderId="6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43" fillId="0" borderId="6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44" fillId="0" borderId="6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45" fillId="0" borderId="6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46" fillId="0" borderId="6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47" fillId="0" borderId="61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48" fillId="0" borderId="61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249" fillId="0" borderId="6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50" fillId="0" borderId="6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51" fillId="0" borderId="6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52" fillId="0" borderId="6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53" fillId="0" borderId="6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54" fillId="0" borderId="6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55" fillId="0" borderId="6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56" fillId="0" borderId="61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57" fillId="0" borderId="61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258" fillId="0" borderId="6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59" fillId="0" borderId="6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60" fillId="0" borderId="6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61" fillId="0" borderId="6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62" fillId="0" borderId="6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63" fillId="0" borderId="6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64" fillId="0" borderId="6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65" fillId="0" borderId="61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66" fillId="0" borderId="61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267" fillId="0" borderId="6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68" fillId="0" borderId="6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69" fillId="0" borderId="6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70" fillId="0" borderId="6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71" fillId="0" borderId="6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72" fillId="0" borderId="6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73" fillId="0" borderId="6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74" fillId="0" borderId="61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75" fillId="0" borderId="61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276" fillId="0" borderId="6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77" fillId="0" borderId="6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78" fillId="0" borderId="6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79" fillId="0" borderId="6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80" fillId="0" borderId="6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81" fillId="0" borderId="6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82" fillId="0" borderId="6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83" fillId="0" borderId="61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84" fillId="0" borderId="61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285" fillId="0" borderId="6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86" fillId="0" borderId="6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87" fillId="0" borderId="6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88" fillId="0" borderId="6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89" fillId="0" borderId="6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90" fillId="0" borderId="6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91" fillId="0" borderId="6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92" fillId="0" borderId="61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93" fillId="0" borderId="61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294" fillId="0" borderId="6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95" fillId="0" borderId="6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96" fillId="0" borderId="6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97" fillId="0" borderId="6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98" fillId="0" borderId="6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99" fillId="0" borderId="6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00" fillId="0" borderId="6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01" fillId="0" borderId="61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302" fillId="0" borderId="61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303" fillId="0" borderId="6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04" fillId="0" borderId="6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05" fillId="0" borderId="6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06" fillId="0" borderId="6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07" fillId="0" borderId="6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08" fillId="0" borderId="6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09" fillId="0" borderId="6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10" fillId="0" borderId="61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311" fillId="0" borderId="61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312" fillId="0" borderId="6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13" fillId="0" borderId="6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14" fillId="0" borderId="6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15" fillId="0" borderId="6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16" fillId="0" borderId="6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17" fillId="0" borderId="6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18" fillId="0" borderId="6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19" fillId="0" borderId="61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320" fillId="0" borderId="61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321" fillId="0" borderId="6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22" fillId="0" borderId="6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23" fillId="0" borderId="6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24" fillId="0" borderId="6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25" fillId="0" borderId="6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26" fillId="0" borderId="6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27" fillId="0" borderId="6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28" fillId="0" borderId="62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329" fillId="0" borderId="62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330" fillId="0" borderId="6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31" fillId="0" borderId="6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32" fillId="0" borderId="6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33" fillId="0" borderId="6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34" fillId="0" borderId="6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35" fillId="0" borderId="6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36" fillId="0" borderId="6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37" fillId="0" borderId="62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338" fillId="0" borderId="62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339" fillId="0" borderId="6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40" fillId="0" borderId="6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41" fillId="0" borderId="6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42" fillId="0" borderId="6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43" fillId="0" borderId="6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44" fillId="0" borderId="6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45" fillId="0" borderId="6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46" fillId="0" borderId="62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347" fillId="262" borderId="6224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348" fillId="263" borderId="6225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349" fillId="264" borderId="6226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350" fillId="0" borderId="6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51" fillId="0" borderId="6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52" fillId="0" borderId="6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53" fillId="265" borderId="6230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54" fillId="266" borderId="6231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55" fillId="0" borderId="6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56" fillId="0" borderId="6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57" fillId="0" borderId="6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58" fillId="267" borderId="6235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59" fillId="268" borderId="6236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60" fillId="0" borderId="6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61" fillId="0" borderId="6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62" fillId="0" borderId="6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63" fillId="0" borderId="6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64" fillId="0" borderId="6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65" fillId="0" borderId="6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66" fillId="0" borderId="6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67" fillId="0" borderId="6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68" fillId="0" borderId="6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69" fillId="0" borderId="62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370" fillId="0" borderId="62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371" fillId="0" borderId="62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372" fillId="0" borderId="6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73" fillId="0" borderId="6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74" fillId="0" borderId="6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75" fillId="0" borderId="62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376" fillId="0" borderId="62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377" fillId="0" borderId="6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78" fillId="0" borderId="6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79" fillId="0" borderId="6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80" fillId="0" borderId="6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81" fillId="0" borderId="6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82" fillId="0" borderId="62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83" fillId="0" borderId="6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84" fillId="0" borderId="62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385" fillId="0" borderId="62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386" fillId="0" borderId="6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87" fillId="0" borderId="6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88" fillId="0" borderId="6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89" fillId="0" borderId="6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90" fillId="0" borderId="6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91" fillId="0" borderId="62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92" fillId="0" borderId="6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93" fillId="0" borderId="62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394" fillId="0" borderId="62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395" fillId="0" borderId="6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96" fillId="0" borderId="6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97" fillId="0" borderId="62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98" fillId="0" borderId="6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99" fillId="0" borderId="6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00" fillId="0" borderId="6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01" fillId="0" borderId="6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02" fillId="0" borderId="62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403" fillId="0" borderId="62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404" fillId="0" borderId="6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05" fillId="0" borderId="6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06" fillId="0" borderId="6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07" fillId="0" borderId="6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08" fillId="0" borderId="6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09" fillId="0" borderId="6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10" fillId="0" borderId="6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11" fillId="0" borderId="62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412" fillId="0" borderId="62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413" fillId="0" borderId="6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14" fillId="0" borderId="6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15" fillId="0" borderId="62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16" fillId="0" borderId="6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17" fillId="0" borderId="6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18" fillId="0" borderId="6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19" fillId="0" borderId="6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20" fillId="0" borderId="62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421" fillId="0" borderId="62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422" fillId="0" borderId="6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23" fillId="0" borderId="6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24" fillId="0" borderId="6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25" fillId="0" borderId="6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26" fillId="0" borderId="6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27" fillId="0" borderId="63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28" fillId="0" borderId="6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29" fillId="0" borderId="63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430" fillId="0" borderId="63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431" fillId="0" borderId="6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32" fillId="0" borderId="6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33" fillId="0" borderId="6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34" fillId="0" borderId="6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35" fillId="0" borderId="6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36" fillId="0" borderId="6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37" fillId="0" borderId="6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38" fillId="0" borderId="63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439" fillId="0" borderId="63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440" fillId="0" borderId="6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41" fillId="0" borderId="6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42" fillId="0" borderId="6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43" fillId="0" borderId="6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44" fillId="0" borderId="6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45" fillId="0" borderId="6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46" fillId="0" borderId="6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47" fillId="0" borderId="63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448" fillId="0" borderId="63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449" fillId="0" borderId="6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50" fillId="0" borderId="6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51" fillId="0" borderId="63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52" fillId="0" borderId="6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53" fillId="0" borderId="6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54" fillId="0" borderId="6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55" fillId="0" borderId="6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56" fillId="0" borderId="63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457" fillId="0" borderId="63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458" fillId="0" borderId="6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59" fillId="0" borderId="6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60" fillId="0" borderId="63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61" fillId="0" borderId="6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62" fillId="0" borderId="6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63" fillId="0" borderId="6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64" fillId="0" borderId="6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65" fillId="0" borderId="63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466" fillId="0" borderId="63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467" fillId="0" borderId="6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68" fillId="0" borderId="6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69" fillId="0" borderId="6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70" fillId="0" borderId="6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71" fillId="0" borderId="6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72" fillId="0" borderId="6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73" fillId="0" borderId="6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74" fillId="0" borderId="63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475" fillId="0" borderId="63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476" fillId="0" borderId="6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77" fillId="0" borderId="6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78" fillId="0" borderId="6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79" fillId="0" borderId="6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80" fillId="0" borderId="6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81" fillId="0" borderId="63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82" fillId="0" borderId="6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83" fillId="0" borderId="63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484" fillId="0" borderId="63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485" fillId="0" borderId="6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86" fillId="0" borderId="6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87" fillId="0" borderId="6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88" fillId="0" borderId="6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89" fillId="0" borderId="6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90" fillId="0" borderId="6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91" fillId="0" borderId="6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92" fillId="0" borderId="63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493" fillId="0" borderId="63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494" fillId="0" borderId="6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95" fillId="0" borderId="6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96" fillId="0" borderId="6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97" fillId="0" borderId="6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98" fillId="0" borderId="6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99" fillId="0" borderId="63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00" fillId="0" borderId="6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01" fillId="0" borderId="63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502" fillId="269" borderId="6379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503" fillId="270" borderId="6380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504" fillId="271" borderId="6381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505" fillId="0" borderId="6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06" fillId="0" borderId="6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07" fillId="0" borderId="6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08" fillId="272" borderId="6385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09" fillId="273" borderId="6386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10" fillId="0" borderId="6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11" fillId="0" borderId="6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12" fillId="0" borderId="6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13" fillId="274" borderId="6390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14" fillId="275" borderId="6391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15" fillId="0" borderId="6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16" fillId="0" borderId="6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17" fillId="0" borderId="6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18" fillId="0" borderId="6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19" fillId="0" borderId="6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20" fillId="0" borderId="6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21" fillId="0" borderId="63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22" fillId="0" borderId="6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23" fillId="0" borderId="6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24" fillId="0" borderId="6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25" fillId="0" borderId="64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26" fillId="0" borderId="6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27" fillId="0" borderId="64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528" fillId="0" borderId="64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529" fillId="0" borderId="64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530" fillId="0" borderId="6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31" fillId="0" borderId="6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32" fillId="0" borderId="6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33" fillId="0" borderId="6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34" fillId="0" borderId="64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535" fillId="0" borderId="64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536" fillId="0" borderId="6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37" fillId="0" borderId="6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38" fillId="0" borderId="6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39" fillId="0" borderId="6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40" fillId="0" borderId="6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41" fillId="0" borderId="64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42" fillId="0" borderId="6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43" fillId="0" borderId="6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44" fillId="0" borderId="6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45" fillId="0" borderId="6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46" fillId="0" borderId="64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547" fillId="0" borderId="64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548" fillId="0" borderId="6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49" fillId="0" borderId="6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50" fillId="0" borderId="6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51" fillId="0" borderId="6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52" fillId="0" borderId="6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53" fillId="0" borderId="64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54" fillId="0" borderId="6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55" fillId="0" borderId="6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56" fillId="0" borderId="6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57" fillId="0" borderId="6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58" fillId="0" borderId="64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559" fillId="0" borderId="64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560" fillId="0" borderId="6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61" fillId="0" borderId="6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62" fillId="0" borderId="6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63" fillId="0" borderId="6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64" fillId="0" borderId="6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65" fillId="0" borderId="64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66" fillId="0" borderId="6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67" fillId="0" borderId="6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68" fillId="0" borderId="6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69" fillId="0" borderId="6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70" fillId="0" borderId="64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571" fillId="0" borderId="64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572" fillId="0" borderId="6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73" fillId="0" borderId="6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74" fillId="0" borderId="6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75" fillId="0" borderId="6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76" fillId="0" borderId="6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77" fillId="0" borderId="6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78" fillId="0" borderId="6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79" fillId="0" borderId="6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80" fillId="0" borderId="6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81" fillId="0" borderId="6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82" fillId="0" borderId="64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583" fillId="0" borderId="64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584" fillId="0" borderId="6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85" fillId="0" borderId="6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86" fillId="0" borderId="6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87" fillId="0" borderId="6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88" fillId="0" borderId="6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89" fillId="0" borderId="6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90" fillId="0" borderId="6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91" fillId="0" borderId="6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92" fillId="0" borderId="6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93" fillId="0" borderId="6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94" fillId="0" borderId="64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595" fillId="0" borderId="64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596" fillId="0" borderId="6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97" fillId="0" borderId="6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98" fillId="0" borderId="64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99" fillId="0" borderId="6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00" fillId="0" borderId="6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01" fillId="0" borderId="6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02" fillId="0" borderId="6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03" fillId="0" borderId="6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04" fillId="0" borderId="6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05" fillId="0" borderId="6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06" fillId="0" borderId="64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607" fillId="0" borderId="64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608" fillId="0" borderId="6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09" fillId="0" borderId="6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10" fillId="0" borderId="6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11" fillId="0" borderId="6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12" fillId="0" borderId="6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13" fillId="0" borderId="6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14" fillId="0" borderId="6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15" fillId="0" borderId="6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16" fillId="0" borderId="6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17" fillId="0" borderId="6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18" fillId="0" borderId="64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619" fillId="0" borderId="64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620" fillId="0" borderId="6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21" fillId="0" borderId="6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22" fillId="0" borderId="6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23" fillId="0" borderId="6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24" fillId="0" borderId="6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25" fillId="0" borderId="65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26" fillId="0" borderId="6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27" fillId="0" borderId="6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28" fillId="0" borderId="65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29" fillId="0" borderId="6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30" fillId="0" borderId="65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631" fillId="0" borderId="65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632" fillId="0" borderId="6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33" fillId="0" borderId="6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34" fillId="0" borderId="6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35" fillId="0" borderId="6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36" fillId="0" borderId="6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37" fillId="0" borderId="65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38" fillId="0" borderId="6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39" fillId="0" borderId="6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40" fillId="0" borderId="65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41" fillId="0" borderId="6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42" fillId="0" borderId="65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643" fillId="0" borderId="65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644" fillId="0" borderId="6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45" fillId="0" borderId="6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46" fillId="0" borderId="6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47" fillId="0" borderId="6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48" fillId="0" borderId="6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49" fillId="0" borderId="6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50" fillId="0" borderId="6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51" fillId="0" borderId="6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52" fillId="0" borderId="6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53" fillId="0" borderId="6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54" fillId="0" borderId="65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655" fillId="0" borderId="65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656" fillId="0" borderId="6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57" fillId="0" borderId="6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58" fillId="0" borderId="6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59" fillId="0" borderId="6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60" fillId="0" borderId="6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61" fillId="0" borderId="65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62" fillId="0" borderId="6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63" fillId="0" borderId="6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64" fillId="0" borderId="6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65" fillId="0" borderId="6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6" fillId="0" borderId="65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667" fillId="0" borderId="65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668" fillId="0" borderId="6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69" fillId="0" borderId="6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70" fillId="0" borderId="6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71" fillId="0" borderId="6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72" fillId="0" borderId="6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73" fillId="0" borderId="65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74" fillId="0" borderId="6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75" fillId="0" borderId="6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76" fillId="0" borderId="6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77" fillId="0" borderId="6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78" fillId="0" borderId="65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679" fillId="0" borderId="65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680" fillId="0" borderId="6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81" fillId="0" borderId="6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82" fillId="0" borderId="6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83" fillId="0" borderId="6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84" fillId="0" borderId="6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85" fillId="0" borderId="65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86" fillId="0" borderId="6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87" fillId="0" borderId="6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88" fillId="0" borderId="65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89" fillId="0" borderId="6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90" fillId="0" borderId="65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691" fillId="0" borderId="65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692" fillId="0" borderId="6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93" fillId="0" borderId="6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94" fillId="0" borderId="6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95" fillId="0" borderId="6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96" fillId="0" borderId="6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97" fillId="0" borderId="6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98" fillId="0" borderId="6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99" fillId="0" borderId="6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00" fillId="0" borderId="6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01" fillId="0" borderId="6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02" fillId="0" borderId="65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703" fillId="276" borderId="6580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704" fillId="277" borderId="6581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705" fillId="278" borderId="6582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706" fillId="0" borderId="6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07" fillId="0" borderId="6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08" fillId="0" borderId="6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09" fillId="279" borderId="6586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10" fillId="280" borderId="6587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11" fillId="0" borderId="6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12" fillId="0" borderId="6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13" fillId="0" borderId="65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14" fillId="281" borderId="6591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15" fillId="282" borderId="6592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716" fillId="0" borderId="6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17" fillId="0" borderId="6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18" fillId="0" borderId="6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719" fillId="283" borderId="6596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720" fillId="284" borderId="6597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0" fillId="0" borderId="6598" xfId="0"/>
    <xf numFmtId="0" fontId="6722" fillId="0" borderId="6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4" fillId="0" borderId="6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6" fillId="0" borderId="6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8" fillId="0" borderId="6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0" fillId="0" borderId="6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2" fillId="0" borderId="6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4" fillId="0" borderId="6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6" fillId="0" borderId="6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8" fillId="0" borderId="6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0" fillId="0" borderId="6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2" fillId="0" borderId="6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4" fillId="0" borderId="6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6" fillId="0" borderId="6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8" fillId="0" borderId="6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0" fillId="0" borderId="6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2" fillId="0" borderId="6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4" fillId="0" borderId="6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6" fillId="0" borderId="6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8" fillId="0" borderId="6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0" fillId="0" borderId="6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2" fillId="0" borderId="6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4" fillId="0" borderId="66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66" fillId="0" borderId="6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68" fillId="0" borderId="66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70" fillId="0" borderId="6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2" fillId="0" borderId="6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4" fillId="0" borderId="6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6" fillId="0" borderId="6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8" fillId="0" borderId="6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0" fillId="0" borderId="6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2" fillId="0" borderId="6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4" fillId="0" borderId="6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6" fillId="0" borderId="6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8" fillId="0" borderId="6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90" fillId="0" borderId="6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92" fillId="0" borderId="6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94" fillId="0" borderId="6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96" fillId="0" borderId="6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98" fillId="0" borderId="6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00" fillId="0" borderId="6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02" fillId="0" borderId="66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804" fillId="0" borderId="6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06" fillId="0" borderId="6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08" fillId="0" borderId="6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10" fillId="0" borderId="6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12" fillId="0" borderId="6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14" fillId="0" borderId="6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16" fillId="0" borderId="6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18" fillId="0" borderId="6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20" fillId="0" borderId="6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22" fillId="0" borderId="6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24" fillId="0" borderId="6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26" fillId="0" borderId="6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28" fillId="0" borderId="6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30" fillId="0" borderId="6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32" fillId="0" borderId="6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34" fillId="0" borderId="6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36" fillId="0" borderId="6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38" fillId="0" borderId="6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40" fillId="0" borderId="6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42" fillId="0" borderId="66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844" fillId="0" borderId="6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46" fillId="0" borderId="6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48" fillId="0" borderId="66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50" fillId="0" borderId="6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52" fillId="0" borderId="6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54" fillId="0" borderId="6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56" fillId="0" borderId="6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58" fillId="0" borderId="6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60" fillId="0" borderId="6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62" fillId="0" borderId="6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64" fillId="0" borderId="6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66" fillId="0" borderId="6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68" fillId="0" borderId="6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70" fillId="0" borderId="6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72" fillId="0" borderId="6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74" fillId="0" borderId="6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76" fillId="0" borderId="6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78" fillId="0" borderId="6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80" fillId="0" borderId="6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82" fillId="0" borderId="66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884" fillId="0" borderId="66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86" fillId="0" borderId="66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88" fillId="0" borderId="66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90" fillId="0" borderId="6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92" fillId="0" borderId="6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94" fillId="0" borderId="6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96" fillId="0" borderId="6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98" fillId="0" borderId="6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00" fillId="0" borderId="6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02" fillId="0" borderId="6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04" fillId="0" borderId="6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06" fillId="0" borderId="6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08" fillId="0" borderId="6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10" fillId="0" borderId="6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12" fillId="0" borderId="6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14" fillId="0" borderId="6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16" fillId="0" borderId="6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18" fillId="0" borderId="6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20" fillId="0" borderId="6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22" fillId="0" borderId="66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924" fillId="0" borderId="6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26" fillId="0" borderId="67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28" fillId="0" borderId="67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30" fillId="0" borderId="6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32" fillId="0" borderId="6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34" fillId="0" borderId="6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36" fillId="0" borderId="6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38" fillId="0" borderId="6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40" fillId="0" borderId="6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42" fillId="0" borderId="6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44" fillId="0" borderId="6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46" fillId="0" borderId="6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48" fillId="0" borderId="6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50" fillId="0" borderId="6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52" fillId="0" borderId="6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54" fillId="0" borderId="6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56" fillId="0" borderId="6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58" fillId="0" borderId="6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60" fillId="0" borderId="6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62" fillId="0" borderId="67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964" fillId="0" borderId="6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66" fillId="0" borderId="6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68" fillId="0" borderId="67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70" fillId="0" borderId="6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72" fillId="0" borderId="6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74" fillId="0" borderId="6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76" fillId="0" borderId="6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78" fillId="0" borderId="6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80" fillId="0" borderId="6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82" fillId="0" borderId="6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84" fillId="0" borderId="6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86" fillId="0" borderId="6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88" fillId="0" borderId="6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90" fillId="0" borderId="6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92" fillId="0" borderId="6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94" fillId="0" borderId="6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96" fillId="0" borderId="6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98" fillId="0" borderId="6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00" fillId="0" borderId="6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02" fillId="0" borderId="67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004" fillId="0" borderId="67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06" fillId="0" borderId="6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08" fillId="0" borderId="67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10" fillId="0" borderId="6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12" fillId="0" borderId="6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14" fillId="0" borderId="6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16" fillId="0" borderId="6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18" fillId="0" borderId="6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20" fillId="0" borderId="6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22" fillId="0" borderId="6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24" fillId="0" borderId="6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26" fillId="0" borderId="6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28" fillId="0" borderId="6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30" fillId="0" borderId="6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32" fillId="0" borderId="6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34" fillId="0" borderId="6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36" fillId="0" borderId="6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38" fillId="0" borderId="6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40" fillId="0" borderId="6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42" fillId="0" borderId="67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044" fillId="0" borderId="6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46" fillId="0" borderId="6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48" fillId="0" borderId="67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50" fillId="0" borderId="6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52" fillId="0" borderId="6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54" fillId="0" borderId="6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56" fillId="0" borderId="6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58" fillId="0" borderId="6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60" fillId="0" borderId="6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62" fillId="0" borderId="6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64" fillId="0" borderId="6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66" fillId="0" borderId="6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68" fillId="0" borderId="6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70" fillId="0" borderId="6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72" fillId="0" borderId="6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74" fillId="0" borderId="6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76" fillId="0" borderId="6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78" fillId="0" borderId="6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80" fillId="0" borderId="6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82" fillId="0" borderId="67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084" fillId="0" borderId="6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86" fillId="0" borderId="6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88" fillId="0" borderId="67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90" fillId="0" borderId="6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92" fillId="0" borderId="6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94" fillId="0" borderId="6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96" fillId="0" borderId="6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98" fillId="0" borderId="6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00" fillId="0" borderId="6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02" fillId="0" borderId="6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04" fillId="0" borderId="6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06" fillId="0" borderId="6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08" fillId="0" borderId="6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10" fillId="0" borderId="6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12" fillId="0" borderId="6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14" fillId="0" borderId="6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16" fillId="0" borderId="6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18" fillId="0" borderId="6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20" fillId="0" borderId="6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22" fillId="0" borderId="67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124" fillId="0" borderId="68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26" fillId="0" borderId="6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28" fillId="0" borderId="68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30" fillId="0" borderId="6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32" fillId="0" borderId="6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34" fillId="0" borderId="6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36" fillId="0" borderId="6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38" fillId="0" borderId="6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40" fillId="0" borderId="6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42" fillId="0" borderId="6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44" fillId="0" borderId="6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46" fillId="0" borderId="6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48" fillId="0" borderId="6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50" fillId="0" borderId="6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52" fillId="0" borderId="6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54" fillId="0" borderId="6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56" fillId="0" borderId="6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58" fillId="0" borderId="6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0" fillId="0" borderId="6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2" fillId="0" borderId="68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164" fillId="0" borderId="6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66" fillId="0" borderId="6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68" fillId="0" borderId="6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70" fillId="0" borderId="6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2" fillId="0" borderId="6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4" fillId="0" borderId="6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6" fillId="0" borderId="6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8" fillId="0" borderId="6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0" fillId="0" borderId="6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2" fillId="0" borderId="6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4" fillId="0" borderId="6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6" fillId="0" borderId="6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8" fillId="0" borderId="6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90" fillId="0" borderId="6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92" fillId="0" borderId="6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94" fillId="0" borderId="6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96" fillId="0" borderId="6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98" fillId="0" borderId="6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0" fillId="0" borderId="6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2" fillId="0" borderId="68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204" fillId="0" borderId="68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06" fillId="0" borderId="6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08" fillId="0" borderId="68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10" fillId="0" borderId="6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12" fillId="0" borderId="6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14" fillId="0" borderId="6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16" fillId="0" borderId="6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18" fillId="0" borderId="6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0" fillId="0" borderId="6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2" fillId="0" borderId="6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4" fillId="0" borderId="6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6" fillId="0" borderId="6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8" fillId="0" borderId="6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30" fillId="0" borderId="6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32" fillId="0" borderId="6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34" fillId="0" borderId="6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36" fillId="0" borderId="6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38" fillId="0" borderId="6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40" fillId="0" borderId="6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42" fillId="0" borderId="68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244" fillId="0" borderId="68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46" fillId="0" borderId="6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48" fillId="0" borderId="68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50" fillId="0" borderId="6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52" fillId="0" borderId="6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54" fillId="0" borderId="6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56" fillId="0" borderId="6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58" fillId="0" borderId="6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0" fillId="0" borderId="6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2" fillId="0" borderId="6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4" fillId="0" borderId="6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6" fillId="0" borderId="6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8" fillId="0" borderId="6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70" fillId="0" borderId="6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72" fillId="0" borderId="6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74" fillId="0" borderId="6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76" fillId="0" borderId="6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78" fillId="0" borderId="6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80" fillId="0" borderId="6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82" fillId="0" borderId="68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284" fillId="0" borderId="68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86" fillId="0" borderId="68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88" fillId="0" borderId="6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90" fillId="0" borderId="6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92" fillId="0" borderId="6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94" fillId="0" borderId="6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96" fillId="0" borderId="6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98" fillId="0" borderId="6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00" fillId="0" borderId="6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02" fillId="0" borderId="6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04" fillId="0" borderId="6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06" fillId="0" borderId="6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08" fillId="0" borderId="6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10" fillId="0" borderId="6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12" fillId="0" borderId="6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14" fillId="0" borderId="6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16" fillId="0" borderId="6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18" fillId="0" borderId="6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20" fillId="0" borderId="6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22" fillId="0" borderId="68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324" fillId="0" borderId="6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26" fillId="0" borderId="6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28" fillId="0" borderId="69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30" fillId="0" borderId="6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32" fillId="0" borderId="6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34" fillId="0" borderId="6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36" fillId="0" borderId="6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38" fillId="0" borderId="6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40" fillId="0" borderId="6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42" fillId="0" borderId="6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44" fillId="0" borderId="6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46" fillId="0" borderId="6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48" fillId="0" borderId="6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50" fillId="0" borderId="6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52" fillId="0" borderId="6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54" fillId="0" borderId="6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56" fillId="0" borderId="6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58" fillId="0" borderId="6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60" fillId="0" borderId="6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62" fillId="0" borderId="69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364" fillId="0" borderId="69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66" fillId="0" borderId="6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68" fillId="0" borderId="69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70" fillId="0" borderId="6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72" fillId="0" borderId="6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74" fillId="0" borderId="6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76" fillId="0" borderId="6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78" fillId="0" borderId="6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80" fillId="0" borderId="6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82" fillId="0" borderId="6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84" fillId="0" borderId="6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86" fillId="0" borderId="6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88" fillId="0" borderId="6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90" fillId="0" borderId="6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92" fillId="0" borderId="6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94" fillId="0" borderId="6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96" fillId="0" borderId="6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98" fillId="0" borderId="6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00" fillId="0" borderId="6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02" fillId="285" borderId="6939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404" fillId="286" borderId="6940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06" fillId="287" borderId="6941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08" fillId="288" borderId="6942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10" fillId="0" borderId="6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12" fillId="0" borderId="6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14" fillId="0" borderId="6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16" fillId="0" borderId="6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18" fillId="0" borderId="6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20" fillId="0" borderId="6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22" fillId="0" borderId="6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24" fillId="0" borderId="6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26" fillId="0" borderId="6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28" fillId="0" borderId="6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30" fillId="0" borderId="6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32" fillId="0" borderId="6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34" fillId="0" borderId="6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36" fillId="0" borderId="6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38" fillId="0" borderId="6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40" fillId="0" borderId="6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42" fillId="0" borderId="6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44" fillId="0" borderId="6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46" fillId="0" borderId="6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48" fillId="0" borderId="6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50" fillId="0" borderId="6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52" fillId="0" borderId="6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54" fillId="0" borderId="6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56" fillId="0" borderId="6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58" fillId="0" borderId="6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60" fillId="0" borderId="6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62" fillId="0" borderId="6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64" fillId="0" borderId="6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66" fillId="0" borderId="6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68" fillId="0" borderId="6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70" fillId="0" borderId="6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72" fillId="0" borderId="6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74" fillId="0" borderId="6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76" fillId="0" borderId="6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78" fillId="0" borderId="6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80" fillId="0" borderId="6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82" fillId="0" borderId="6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84" fillId="0" borderId="6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86" fillId="0" borderId="6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88" fillId="0" borderId="6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90" fillId="0" borderId="6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92" fillId="0" borderId="6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94" fillId="0" borderId="6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96" fillId="0" borderId="6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98" fillId="0" borderId="6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00" fillId="0" borderId="6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02" fillId="0" borderId="6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04" fillId="0" borderId="6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06" fillId="0" borderId="6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08" fillId="0" borderId="6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10" fillId="0" borderId="6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12" fillId="0" borderId="6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14" fillId="0" borderId="6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16" fillId="0" borderId="6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18" fillId="0" borderId="6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20" fillId="0" borderId="6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6999" xfId="0"/>
    <xf numFmtId="0" fontId="7522" fillId="0" borderId="7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24" fillId="0" borderId="7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26" fillId="0" borderId="7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28" fillId="0" borderId="7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30" fillId="0" borderId="7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32" fillId="0" borderId="7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34" fillId="0" borderId="7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36" fillId="0" borderId="7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38" fillId="0" borderId="7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40" fillId="0" borderId="7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42" fillId="0" borderId="7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44" fillId="0" borderId="7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46" fillId="0" borderId="7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48" fillId="0" borderId="7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50" fillId="0" borderId="7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52" fillId="0" borderId="7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54" fillId="0" borderId="7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56" fillId="0" borderId="7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58" fillId="0" borderId="7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60" fillId="0" borderId="7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62" fillId="0" borderId="7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64" fillId="0" borderId="70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66" fillId="0" borderId="70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68" fillId="0" borderId="7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70" fillId="0" borderId="7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72" fillId="0" borderId="7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74" fillId="0" borderId="7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76" fillId="0" borderId="7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78" fillId="0" borderId="7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80" fillId="0" borderId="7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82" fillId="0" borderId="7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84" fillId="0" borderId="7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86" fillId="0" borderId="7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88" fillId="0" borderId="7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90" fillId="0" borderId="7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92" fillId="0" borderId="7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94" fillId="0" borderId="7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96" fillId="0" borderId="7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98" fillId="0" borderId="7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00" fillId="0" borderId="7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02" fillId="0" borderId="70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604" fillId="0" borderId="7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06" fillId="0" borderId="7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08" fillId="0" borderId="7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10" fillId="0" borderId="7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12" fillId="0" borderId="7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14" fillId="0" borderId="7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16" fillId="0" borderId="7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18" fillId="0" borderId="7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20" fillId="0" borderId="7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22" fillId="0" borderId="7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24" fillId="0" borderId="7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26" fillId="0" borderId="7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28" fillId="0" borderId="7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30" fillId="0" borderId="7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32" fillId="0" borderId="7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34" fillId="0" borderId="7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36" fillId="0" borderId="7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38" fillId="0" borderId="7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40" fillId="0" borderId="7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42" fillId="0" borderId="70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644" fillId="0" borderId="70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46" fillId="0" borderId="70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48" fillId="0" borderId="70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50" fillId="0" borderId="7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52" fillId="0" borderId="7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54" fillId="0" borderId="7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56" fillId="0" borderId="7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58" fillId="0" borderId="7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60" fillId="0" borderId="7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62" fillId="0" borderId="7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64" fillId="0" borderId="7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66" fillId="0" borderId="7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68" fillId="0" borderId="7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70" fillId="0" borderId="7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72" fillId="0" borderId="7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74" fillId="0" borderId="7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76" fillId="0" borderId="7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78" fillId="0" borderId="7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80" fillId="0" borderId="7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82" fillId="0" borderId="70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684" fillId="0" borderId="70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86" fillId="0" borderId="70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88" fillId="0" borderId="70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90" fillId="0" borderId="7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92" fillId="0" borderId="7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94" fillId="0" borderId="7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96" fillId="0" borderId="7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98" fillId="0" borderId="7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00" fillId="0" borderId="7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02" fillId="0" borderId="7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04" fillId="0" borderId="7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06" fillId="0" borderId="7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08" fillId="0" borderId="7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10" fillId="0" borderId="7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12" fillId="0" borderId="7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14" fillId="0" borderId="7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16" fillId="0" borderId="7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18" fillId="0" borderId="7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20" fillId="0" borderId="7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22" fillId="0" borderId="71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724" fillId="0" borderId="7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726" fillId="0" borderId="7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28" fillId="0" borderId="7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30" fillId="0" borderId="7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32" fillId="0" borderId="7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34" fillId="0" borderId="7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36" fillId="0" borderId="7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38" fillId="0" borderId="7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0" fillId="0" borderId="7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2" fillId="0" borderId="7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4" fillId="0" borderId="7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6" fillId="0" borderId="7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8" fillId="0" borderId="7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50" fillId="0" borderId="7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52" fillId="0" borderId="7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54" fillId="0" borderId="7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56" fillId="0" borderId="7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58" fillId="0" borderId="7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60" fillId="0" borderId="7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62" fillId="0" borderId="71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764" fillId="0" borderId="7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766" fillId="0" borderId="7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68" fillId="0" borderId="7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70" fillId="0" borderId="7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72" fillId="0" borderId="7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74" fillId="0" borderId="7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76" fillId="0" borderId="7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78" fillId="0" borderId="7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0" fillId="0" borderId="7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2" fillId="0" borderId="7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4" fillId="0" borderId="7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6" fillId="0" borderId="7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8" fillId="0" borderId="7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90" fillId="0" borderId="7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92" fillId="0" borderId="7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94" fillId="0" borderId="7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96" fillId="0" borderId="7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98" fillId="0" borderId="7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00" fillId="0" borderId="7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02" fillId="0" borderId="71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804" fillId="0" borderId="7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06" fillId="0" borderId="7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08" fillId="0" borderId="7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10" fillId="0" borderId="7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12" fillId="0" borderId="7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14" fillId="0" borderId="7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16" fillId="0" borderId="7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18" fillId="0" borderId="7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20" fillId="0" borderId="7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22" fillId="0" borderId="7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24" fillId="0" borderId="7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26" fillId="0" borderId="7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28" fillId="0" borderId="7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30" fillId="0" borderId="7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32" fillId="0" borderId="7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34" fillId="0" borderId="7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36" fillId="0" borderId="7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38" fillId="0" borderId="7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40" fillId="0" borderId="7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42" fillId="0" borderId="71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844" fillId="0" borderId="7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46" fillId="0" borderId="7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48" fillId="0" borderId="7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50" fillId="0" borderId="7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52" fillId="0" borderId="7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54" fillId="0" borderId="7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56" fillId="0" borderId="7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58" fillId="0" borderId="7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60" fillId="0" borderId="7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62" fillId="0" borderId="7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64" fillId="0" borderId="7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66" fillId="0" borderId="7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68" fillId="0" borderId="7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70" fillId="0" borderId="7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72" fillId="0" borderId="7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74" fillId="0" borderId="7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76" fillId="0" borderId="7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78" fillId="0" borderId="7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80" fillId="0" borderId="7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82" fillId="0" borderId="71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884" fillId="0" borderId="7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86" fillId="0" borderId="7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88" fillId="0" borderId="7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90" fillId="0" borderId="7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92" fillId="0" borderId="7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94" fillId="0" borderId="7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96" fillId="0" borderId="7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98" fillId="0" borderId="7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00" fillId="0" borderId="7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02" fillId="0" borderId="7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04" fillId="0" borderId="7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06" fillId="0" borderId="7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08" fillId="0" borderId="7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10" fillId="0" borderId="7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12" fillId="0" borderId="7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14" fillId="0" borderId="7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16" fillId="0" borderId="7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18" fillId="0" borderId="7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20" fillId="0" borderId="7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22" fillId="0" borderId="72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924" fillId="0" borderId="7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926" fillId="0" borderId="7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28" fillId="0" borderId="7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30" fillId="0" borderId="7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32" fillId="0" borderId="7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34" fillId="0" borderId="7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36" fillId="0" borderId="7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38" fillId="0" borderId="7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40" fillId="0" borderId="7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42" fillId="0" borderId="7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44" fillId="0" borderId="7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46" fillId="0" borderId="7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48" fillId="0" borderId="7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50" fillId="0" borderId="7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52" fillId="0" borderId="7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54" fillId="0" borderId="7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56" fillId="0" borderId="7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58" fillId="0" borderId="7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60" fillId="0" borderId="7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62" fillId="0" borderId="72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964" fillId="0" borderId="7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966" fillId="0" borderId="7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68" fillId="0" borderId="7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70" fillId="0" borderId="7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72" fillId="0" borderId="7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74" fillId="0" borderId="7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76" fillId="0" borderId="7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78" fillId="0" borderId="7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80" fillId="0" borderId="7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82" fillId="0" borderId="7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84" fillId="0" borderId="7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86" fillId="0" borderId="7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88" fillId="0" borderId="7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90" fillId="0" borderId="7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92" fillId="0" borderId="7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94" fillId="0" borderId="7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96" fillId="0" borderId="7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98" fillId="0" borderId="7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00" fillId="0" borderId="7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02" fillId="0" borderId="72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004" fillId="0" borderId="7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006" fillId="0" borderId="72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08" fillId="0" borderId="7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10" fillId="0" borderId="7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12" fillId="0" borderId="7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14" fillId="0" borderId="7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16" fillId="0" borderId="7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18" fillId="0" borderId="7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20" fillId="0" borderId="7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22" fillId="0" borderId="7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24" fillId="0" borderId="7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26" fillId="0" borderId="7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28" fillId="0" borderId="7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30" fillId="0" borderId="7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32" fillId="0" borderId="7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34" fillId="0" borderId="7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36" fillId="0" borderId="7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38" fillId="0" borderId="7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40" fillId="0" borderId="7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42" fillId="0" borderId="72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044" fillId="0" borderId="7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046" fillId="0" borderId="72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48" fillId="0" borderId="72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50" fillId="0" borderId="7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52" fillId="0" borderId="7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54" fillId="0" borderId="7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56" fillId="0" borderId="7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58" fillId="0" borderId="7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60" fillId="0" borderId="7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62" fillId="0" borderId="7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64" fillId="0" borderId="7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66" fillId="0" borderId="7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68" fillId="0" borderId="7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70" fillId="0" borderId="7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72" fillId="0" borderId="7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74" fillId="0" borderId="7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76" fillId="0" borderId="7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78" fillId="0" borderId="7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80" fillId="0" borderId="7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82" fillId="0" borderId="72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084" fillId="0" borderId="7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086" fillId="0" borderId="7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88" fillId="0" borderId="7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90" fillId="0" borderId="7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92" fillId="0" borderId="7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94" fillId="0" borderId="7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96" fillId="0" borderId="7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98" fillId="0" borderId="7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00" fillId="0" borderId="7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02" fillId="0" borderId="7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04" fillId="0" borderId="7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06" fillId="0" borderId="7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08" fillId="0" borderId="7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10" fillId="0" borderId="7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12" fillId="0" borderId="7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14" fillId="0" borderId="7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16" fillId="0" borderId="7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18" fillId="0" borderId="7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20" fillId="0" borderId="7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22" fillId="0" borderId="73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124" fillId="0" borderId="7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126" fillId="0" borderId="7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28" fillId="0" borderId="7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30" fillId="0" borderId="7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32" fillId="0" borderId="7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34" fillId="0" borderId="7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36" fillId="0" borderId="7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38" fillId="0" borderId="7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40" fillId="0" borderId="7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42" fillId="0" borderId="7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44" fillId="0" borderId="7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46" fillId="0" borderId="7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48" fillId="0" borderId="7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50" fillId="0" borderId="7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52" fillId="0" borderId="7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54" fillId="0" borderId="7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56" fillId="0" borderId="7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58" fillId="0" borderId="7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60" fillId="0" borderId="7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62" fillId="0" borderId="73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164" fillId="0" borderId="7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166" fillId="0" borderId="7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68" fillId="0" borderId="7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70" fillId="0" borderId="7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72" fillId="0" borderId="7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74" fillId="0" borderId="7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76" fillId="0" borderId="7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78" fillId="0" borderId="7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80" fillId="0" borderId="7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82" fillId="0" borderId="7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84" fillId="0" borderId="7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86" fillId="0" borderId="7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88" fillId="0" borderId="7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90" fillId="0" borderId="7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92" fillId="0" borderId="7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94" fillId="0" borderId="7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96" fillId="0" borderId="7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98" fillId="0" borderId="7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00" fillId="0" borderId="7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02" fillId="289" borderId="7340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204" fillId="290" borderId="7341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06" fillId="291" borderId="7342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08" fillId="292" borderId="7343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10" fillId="0" borderId="7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12" fillId="0" borderId="7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14" fillId="0" borderId="7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16" fillId="0" borderId="7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18" fillId="0" borderId="7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20" fillId="0" borderId="7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22" fillId="0" borderId="7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24" fillId="0" borderId="7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26" fillId="0" borderId="7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28" fillId="0" borderId="7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30" fillId="0" borderId="7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32" fillId="0" borderId="7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34" fillId="0" borderId="7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36" fillId="0" borderId="7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38" fillId="0" borderId="7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40" fillId="0" borderId="7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42" fillId="0" borderId="7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44" fillId="0" borderId="7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46" fillId="0" borderId="7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48" fillId="0" borderId="7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50" fillId="0" borderId="7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52" fillId="0" borderId="7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54" fillId="0" borderId="7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56" fillId="0" borderId="7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58" fillId="0" borderId="7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60" fillId="0" borderId="7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62" fillId="0" borderId="7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64" fillId="0" borderId="7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66" fillId="0" borderId="7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68" fillId="0" borderId="7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70" fillId="0" borderId="7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72" fillId="0" borderId="7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74" fillId="0" borderId="7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76" fillId="0" borderId="7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78" fillId="0" borderId="7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80" fillId="0" borderId="7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82" fillId="0" borderId="7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84" fillId="0" borderId="7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86" fillId="0" borderId="7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88" fillId="0" borderId="7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90" fillId="0" borderId="7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92" fillId="0" borderId="7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94" fillId="0" borderId="7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96" fillId="0" borderId="7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98" fillId="0" borderId="7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00" fillId="0" borderId="7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02" fillId="0" borderId="7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04" fillId="0" borderId="7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06" fillId="0" borderId="7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08" fillId="0" borderId="7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10" fillId="0" borderId="7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12" fillId="0" borderId="7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14" fillId="0" borderId="7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16" fillId="0" borderId="7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18" fillId="0" borderId="7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20" fillId="0" borderId="7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7400" xfId="0"/>
    <xf numFmtId="0" fontId="8322" fillId="0" borderId="7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24" fillId="0" borderId="7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26" fillId="0" borderId="7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28" fillId="0" borderId="7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30" fillId="0" borderId="7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32" fillId="0" borderId="7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34" fillId="0" borderId="7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36" fillId="0" borderId="7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38" fillId="0" borderId="7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40" fillId="0" borderId="7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42" fillId="0" borderId="7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44" fillId="0" borderId="7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46" fillId="0" borderId="7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48" fillId="0" borderId="7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50" fillId="0" borderId="7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52" fillId="0" borderId="7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54" fillId="0" borderId="7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56" fillId="0" borderId="7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58" fillId="0" borderId="7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60" fillId="0" borderId="7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62" fillId="0" borderId="7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64" fillId="0" borderId="74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66" fillId="0" borderId="7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68" fillId="0" borderId="7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70" fillId="0" borderId="7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72" fillId="0" borderId="7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74" fillId="0" borderId="7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76" fillId="0" borderId="7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78" fillId="0" borderId="7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80" fillId="0" borderId="7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82" fillId="0" borderId="7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84" fillId="0" borderId="7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86" fillId="0" borderId="7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88" fillId="0" borderId="7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90" fillId="0" borderId="7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92" fillId="0" borderId="7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94" fillId="0" borderId="7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96" fillId="0" borderId="7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98" fillId="0" borderId="7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00" fillId="0" borderId="7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02" fillId="0" borderId="74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404" fillId="0" borderId="7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06" fillId="0" borderId="7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08" fillId="0" borderId="7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10" fillId="0" borderId="7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12" fillId="0" borderId="7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14" fillId="0" borderId="7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16" fillId="0" borderId="7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18" fillId="0" borderId="7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20" fillId="0" borderId="7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22" fillId="0" borderId="7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24" fillId="0" borderId="7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26" fillId="0" borderId="7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28" fillId="0" borderId="7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30" fillId="0" borderId="7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32" fillId="0" borderId="7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34" fillId="0" borderId="7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36" fillId="0" borderId="7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38" fillId="0" borderId="7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40" fillId="0" borderId="7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42" fillId="0" borderId="74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444" fillId="0" borderId="7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446" fillId="0" borderId="7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48" fillId="0" borderId="7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50" fillId="0" borderId="7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52" fillId="0" borderId="7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54" fillId="0" borderId="7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56" fillId="0" borderId="7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58" fillId="0" borderId="7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60" fillId="0" borderId="7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62" fillId="0" borderId="7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64" fillId="0" borderId="7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66" fillId="0" borderId="7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68" fillId="0" borderId="7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70" fillId="0" borderId="7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72" fillId="0" borderId="7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74" fillId="0" borderId="7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76" fillId="0" borderId="7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78" fillId="0" borderId="7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80" fillId="0" borderId="7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82" fillId="0" borderId="74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484" fillId="0" borderId="7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486" fillId="0" borderId="7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88" fillId="0" borderId="7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90" fillId="0" borderId="7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92" fillId="0" borderId="7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94" fillId="0" borderId="7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96" fillId="0" borderId="7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98" fillId="0" borderId="7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00" fillId="0" borderId="7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02" fillId="0" borderId="7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04" fillId="0" borderId="7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06" fillId="0" borderId="7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08" fillId="0" borderId="7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10" fillId="0" borderId="7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12" fillId="0" borderId="7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14" fillId="0" borderId="7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16" fillId="0" borderId="7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18" fillId="0" borderId="7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20" fillId="0" borderId="7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22" fillId="0" borderId="75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524" fillId="0" borderId="75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26" fillId="0" borderId="7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28" fillId="0" borderId="7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30" fillId="0" borderId="7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32" fillId="0" borderId="7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34" fillId="0" borderId="7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36" fillId="0" borderId="7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38" fillId="0" borderId="7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40" fillId="0" borderId="7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42" fillId="0" borderId="7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44" fillId="0" borderId="7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46" fillId="0" borderId="7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48" fillId="0" borderId="7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50" fillId="0" borderId="7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52" fillId="0" borderId="7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54" fillId="0" borderId="7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56" fillId="0" borderId="7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58" fillId="0" borderId="7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60" fillId="0" borderId="7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62" fillId="0" borderId="75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564" fillId="0" borderId="7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66" fillId="0" borderId="7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68" fillId="0" borderId="7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70" fillId="0" borderId="7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72" fillId="0" borderId="7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74" fillId="0" borderId="7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76" fillId="0" borderId="7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78" fillId="0" borderId="7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80" fillId="0" borderId="7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82" fillId="0" borderId="7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84" fillId="0" borderId="7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86" fillId="0" borderId="7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88" fillId="0" borderId="7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90" fillId="0" borderId="7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92" fillId="0" borderId="7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94" fillId="0" borderId="7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96" fillId="0" borderId="7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98" fillId="0" borderId="7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00" fillId="0" borderId="7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02" fillId="0" borderId="75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604" fillId="0" borderId="75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606" fillId="0" borderId="7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08" fillId="0" borderId="7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10" fillId="0" borderId="7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12" fillId="0" borderId="7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14" fillId="0" borderId="7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16" fillId="0" borderId="7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18" fillId="0" borderId="7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20" fillId="0" borderId="7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22" fillId="0" borderId="7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24" fillId="0" borderId="7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26" fillId="0" borderId="7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28" fillId="0" borderId="7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30" fillId="0" borderId="7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32" fillId="0" borderId="7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34" fillId="0" borderId="7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36" fillId="0" borderId="7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38" fillId="0" borderId="7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40" fillId="0" borderId="7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42" fillId="0" borderId="75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644" fillId="0" borderId="75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646" fillId="0" borderId="7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48" fillId="0" borderId="7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50" fillId="0" borderId="7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52" fillId="0" borderId="7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54" fillId="0" borderId="7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56" fillId="0" borderId="7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58" fillId="0" borderId="7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60" fillId="0" borderId="7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62" fillId="0" borderId="7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64" fillId="0" borderId="7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66" fillId="0" borderId="7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68" fillId="0" borderId="7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70" fillId="0" borderId="7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72" fillId="0" borderId="7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74" fillId="0" borderId="7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76" fillId="0" borderId="7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78" fillId="0" borderId="7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80" fillId="0" borderId="7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82" fillId="0" borderId="75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684" fillId="0" borderId="7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686" fillId="0" borderId="7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88" fillId="0" borderId="7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90" fillId="0" borderId="7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92" fillId="0" borderId="7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94" fillId="0" borderId="7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96" fillId="0" borderId="7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98" fillId="0" borderId="7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00" fillId="0" borderId="7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02" fillId="0" borderId="7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04" fillId="0" borderId="7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06" fillId="0" borderId="7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08" fillId="0" borderId="7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10" fillId="0" borderId="7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12" fillId="0" borderId="7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14" fillId="0" borderId="7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16" fillId="0" borderId="7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18" fillId="0" borderId="7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20" fillId="0" borderId="7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22" fillId="0" borderId="76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724" fillId="0" borderId="76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726" fillId="0" borderId="7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28" fillId="0" borderId="7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30" fillId="0" borderId="7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32" fillId="0" borderId="7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34" fillId="0" borderId="7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36" fillId="0" borderId="7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38" fillId="0" borderId="7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40" fillId="0" borderId="7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42" fillId="0" borderId="7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44" fillId="0" borderId="7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46" fillId="0" borderId="7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48" fillId="0" borderId="7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50" fillId="0" borderId="7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52" fillId="0" borderId="7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54" fillId="0" borderId="7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56" fillId="0" borderId="7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58" fillId="0" borderId="7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60" fillId="0" borderId="7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62" fillId="0" borderId="76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764" fillId="0" borderId="76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766" fillId="0" borderId="76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68" fillId="0" borderId="7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70" fillId="0" borderId="7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72" fillId="0" borderId="7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74" fillId="0" borderId="7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76" fillId="0" borderId="7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78" fillId="0" borderId="7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80" fillId="0" borderId="7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82" fillId="0" borderId="7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84" fillId="0" borderId="7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86" fillId="0" borderId="7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88" fillId="0" borderId="7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90" fillId="0" borderId="7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92" fillId="0" borderId="7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94" fillId="0" borderId="7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96" fillId="0" borderId="7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98" fillId="0" borderId="7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00" fillId="0" borderId="7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02" fillId="0" borderId="76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804" fillId="0" borderId="7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806" fillId="0" borderId="7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08" fillId="0" borderId="7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10" fillId="0" borderId="7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12" fillId="0" borderId="7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14" fillId="0" borderId="7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16" fillId="0" borderId="7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18" fillId="0" borderId="7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20" fillId="0" borderId="7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22" fillId="0" borderId="7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24" fillId="0" borderId="7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26" fillId="0" borderId="7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28" fillId="0" borderId="7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30" fillId="0" borderId="7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32" fillId="0" borderId="7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34" fillId="0" borderId="7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36" fillId="0" borderId="7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38" fillId="0" borderId="7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40" fillId="0" borderId="7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42" fillId="0" borderId="76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844" fillId="0" borderId="76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846" fillId="0" borderId="7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48" fillId="0" borderId="7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50" fillId="0" borderId="7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52" fillId="0" borderId="7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54" fillId="0" borderId="7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56" fillId="0" borderId="7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58" fillId="0" borderId="7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60" fillId="0" borderId="7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62" fillId="0" borderId="7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64" fillId="0" borderId="7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66" fillId="0" borderId="7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68" fillId="0" borderId="7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70" fillId="0" borderId="7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72" fillId="0" borderId="7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74" fillId="0" borderId="7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76" fillId="0" borderId="7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78" fillId="0" borderId="7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80" fillId="0" borderId="7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82" fillId="0" borderId="76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884" fillId="0" borderId="76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886" fillId="0" borderId="76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88" fillId="0" borderId="7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90" fillId="0" borderId="7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92" fillId="0" borderId="7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94" fillId="0" borderId="7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96" fillId="0" borderId="7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98" fillId="0" borderId="7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00" fillId="0" borderId="7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02" fillId="0" borderId="7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04" fillId="0" borderId="7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06" fillId="0" borderId="7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08" fillId="0" borderId="7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10" fillId="0" borderId="7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12" fillId="0" borderId="7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14" fillId="0" borderId="7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16" fillId="0" borderId="7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18" fillId="0" borderId="7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20" fillId="0" borderId="7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22" fillId="0" borderId="77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924" fillId="0" borderId="77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926" fillId="0" borderId="77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28" fillId="0" borderId="7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30" fillId="0" borderId="7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32" fillId="0" borderId="7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34" fillId="0" borderId="7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36" fillId="0" borderId="7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38" fillId="0" borderId="7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40" fillId="0" borderId="7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42" fillId="0" borderId="7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44" fillId="0" borderId="7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46" fillId="0" borderId="7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48" fillId="0" borderId="7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50" fillId="0" borderId="7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52" fillId="0" borderId="7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54" fillId="0" borderId="7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56" fillId="0" borderId="7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58" fillId="0" borderId="7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60" fillId="0" borderId="7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62" fillId="0" borderId="77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964" fillId="0" borderId="77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966" fillId="0" borderId="77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68" fillId="0" borderId="7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70" fillId="0" borderId="7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72" fillId="0" borderId="7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74" fillId="0" borderId="7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76" fillId="0" borderId="7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78" fillId="0" borderId="7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80" fillId="0" borderId="7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82" fillId="0" borderId="7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84" fillId="0" borderId="7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86" fillId="0" borderId="7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88" fillId="0" borderId="7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90" fillId="0" borderId="7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92" fillId="0" borderId="7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94" fillId="0" borderId="7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96" fillId="0" borderId="7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98" fillId="0" borderId="7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00" fillId="0" borderId="7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02" fillId="293" borderId="7741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004" fillId="294" borderId="7742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006" fillId="295" borderId="7743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08" fillId="0" borderId="7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10" fillId="0" borderId="7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12" fillId="0" borderId="7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14" fillId="0" borderId="7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16" fillId="0" borderId="7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18" fillId="0" borderId="7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20" fillId="0" borderId="7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22" fillId="0" borderId="7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24" fillId="0" borderId="7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26" fillId="0" borderId="7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28" fillId="0" borderId="7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30" fillId="0" borderId="7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32" fillId="0" borderId="7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34" fillId="0" borderId="7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36" fillId="0" borderId="7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38" fillId="0" borderId="7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40" fillId="0" borderId="7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42" fillId="0" borderId="7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44" fillId="0" borderId="7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46" fillId="0" borderId="7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48" fillId="0" borderId="7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50" fillId="0" borderId="7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52" fillId="0" borderId="7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54" fillId="0" borderId="7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56" fillId="0" borderId="7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58" fillId="0" borderId="7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60" fillId="0" borderId="7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62" fillId="0" borderId="7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64" fillId="0" borderId="7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66" fillId="0" borderId="7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68" fillId="0" borderId="7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70" fillId="0" borderId="7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72" fillId="0" borderId="7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74" fillId="0" borderId="7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76" fillId="0" borderId="7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78" fillId="0" borderId="7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80" fillId="0" borderId="7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82" fillId="0" borderId="7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84" fillId="0" borderId="7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86" fillId="0" borderId="7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88" fillId="0" borderId="7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90" fillId="0" borderId="7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92" fillId="0" borderId="7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94" fillId="0" borderId="7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96" fillId="0" borderId="7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98" fillId="0" borderId="7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00" fillId="0" borderId="7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02" fillId="0" borderId="7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04" fillId="0" borderId="7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06" fillId="0" borderId="7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08" fillId="0" borderId="7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10" fillId="0" borderId="7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12" fillId="0" borderId="7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14" fillId="0" borderId="7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16" fillId="0" borderId="7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18" fillId="0" borderId="7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20" fillId="0" borderId="7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7801" xfId="0"/>
    <xf numFmtId="0" fontId="9122" fillId="0" borderId="7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24" fillId="0" borderId="7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26" fillId="0" borderId="7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28" fillId="0" borderId="7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30" fillId="0" borderId="7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32" fillId="0" borderId="7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34" fillId="0" borderId="7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36" fillId="0" borderId="7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38" fillId="0" borderId="7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40" fillId="0" borderId="7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42" fillId="0" borderId="7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44" fillId="0" borderId="7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46" fillId="0" borderId="7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48" fillId="0" borderId="7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50" fillId="0" borderId="7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52" fillId="0" borderId="7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54" fillId="0" borderId="7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56" fillId="0" borderId="7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58" fillId="0" borderId="7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60" fillId="0" borderId="7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62" fillId="0" borderId="7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64" fillId="0" borderId="7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66" fillId="0" borderId="78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68" fillId="0" borderId="7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70" fillId="0" borderId="7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72" fillId="0" borderId="7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74" fillId="0" borderId="7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76" fillId="0" borderId="7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78" fillId="0" borderId="7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80" fillId="0" borderId="7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82" fillId="0" borderId="7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84" fillId="0" borderId="7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86" fillId="0" borderId="7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88" fillId="0" borderId="7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90" fillId="0" borderId="7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92" fillId="0" borderId="7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94" fillId="0" borderId="7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96" fillId="0" borderId="7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98" fillId="0" borderId="7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00" fillId="0" borderId="7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02" fillId="0" borderId="78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204" fillId="0" borderId="7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06" fillId="0" borderId="7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08" fillId="0" borderId="7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10" fillId="0" borderId="7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12" fillId="0" borderId="7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14" fillId="0" borderId="7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16" fillId="0" borderId="7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18" fillId="0" borderId="7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20" fillId="0" borderId="7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22" fillId="0" borderId="7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24" fillId="0" borderId="7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26" fillId="0" borderId="7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28" fillId="0" borderId="7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30" fillId="0" borderId="7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32" fillId="0" borderId="7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34" fillId="0" borderId="7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36" fillId="0" borderId="7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38" fillId="0" borderId="7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40" fillId="0" borderId="7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42" fillId="0" borderId="78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244" fillId="0" borderId="78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46" fillId="0" borderId="7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48" fillId="0" borderId="78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50" fillId="0" borderId="7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52" fillId="0" borderId="7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54" fillId="0" borderId="7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56" fillId="0" borderId="7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58" fillId="0" borderId="7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60" fillId="0" borderId="7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62" fillId="0" borderId="7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64" fillId="0" borderId="7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66" fillId="0" borderId="7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68" fillId="0" borderId="7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70" fillId="0" borderId="7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72" fillId="0" borderId="7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74" fillId="0" borderId="7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76" fillId="0" borderId="7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78" fillId="0" borderId="7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80" fillId="0" borderId="7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82" fillId="0" borderId="78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284" fillId="0" borderId="7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86" fillId="0" borderId="7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88" fillId="0" borderId="7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90" fillId="0" borderId="7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92" fillId="0" borderId="7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94" fillId="0" borderId="7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96" fillId="0" borderId="7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98" fillId="0" borderId="7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00" fillId="0" borderId="7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02" fillId="0" borderId="7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04" fillId="0" borderId="7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06" fillId="0" borderId="7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08" fillId="0" borderId="7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10" fillId="0" borderId="7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12" fillId="0" borderId="7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14" fillId="0" borderId="7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16" fillId="0" borderId="7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18" fillId="0" borderId="7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20" fillId="0" borderId="7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22" fillId="0" borderId="79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324" fillId="0" borderId="7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326" fillId="0" borderId="7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28" fillId="0" borderId="79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30" fillId="0" borderId="7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32" fillId="0" borderId="7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34" fillId="0" borderId="7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36" fillId="0" borderId="7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38" fillId="0" borderId="7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40" fillId="0" borderId="7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42" fillId="0" borderId="7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44" fillId="0" borderId="7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46" fillId="0" borderId="7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48" fillId="0" borderId="7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50" fillId="0" borderId="7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52" fillId="0" borderId="7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54" fillId="0" borderId="7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56" fillId="0" borderId="7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58" fillId="0" borderId="7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60" fillId="0" borderId="7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62" fillId="0" borderId="79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364" fillId="0" borderId="79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366" fillId="0" borderId="7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68" fillId="0" borderId="7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70" fillId="0" borderId="7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72" fillId="0" borderId="7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74" fillId="0" borderId="7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76" fillId="0" borderId="7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78" fillId="0" borderId="7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80" fillId="0" borderId="7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82" fillId="0" borderId="7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84" fillId="0" borderId="7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86" fillId="0" borderId="7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88" fillId="0" borderId="7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90" fillId="0" borderId="7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92" fillId="0" borderId="7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94" fillId="0" borderId="7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96" fillId="0" borderId="7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98" fillId="0" borderId="7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00" fillId="0" borderId="7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02" fillId="0" borderId="79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404" fillId="0" borderId="79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406" fillId="0" borderId="79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408" fillId="0" borderId="7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10" fillId="0" borderId="7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12" fillId="0" borderId="7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14" fillId="0" borderId="7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16" fillId="0" borderId="7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18" fillId="0" borderId="7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20" fillId="0" borderId="7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22" fillId="0" borderId="7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24" fillId="0" borderId="7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26" fillId="0" borderId="7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28" fillId="0" borderId="7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30" fillId="0" borderId="7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32" fillId="0" borderId="7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34" fillId="0" borderId="7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36" fillId="0" borderId="7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38" fillId="0" borderId="7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40" fillId="0" borderId="7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42" fillId="0" borderId="79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444" fillId="0" borderId="7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446" fillId="0" borderId="79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448" fillId="0" borderId="79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50" fillId="0" borderId="7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52" fillId="0" borderId="7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54" fillId="0" borderId="7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56" fillId="0" borderId="7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58" fillId="0" borderId="7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60" fillId="0" borderId="7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62" fillId="0" borderId="7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64" fillId="0" borderId="7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66" fillId="0" borderId="7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68" fillId="0" borderId="7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70" fillId="0" borderId="7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72" fillId="0" borderId="7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74" fillId="0" borderId="7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76" fillId="0" borderId="7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78" fillId="0" borderId="7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80" fillId="0" borderId="7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82" fillId="0" borderId="79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484" fillId="0" borderId="79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486" fillId="0" borderId="7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488" fillId="0" borderId="79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90" fillId="0" borderId="7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92" fillId="0" borderId="7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94" fillId="0" borderId="7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96" fillId="0" borderId="7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98" fillId="0" borderId="7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00" fillId="0" borderId="7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02" fillId="0" borderId="7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04" fillId="0" borderId="7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06" fillId="0" borderId="7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08" fillId="0" borderId="7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10" fillId="0" borderId="7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12" fillId="0" borderId="7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14" fillId="0" borderId="7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16" fillId="0" borderId="7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18" fillId="0" borderId="8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20" fillId="0" borderId="8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22" fillId="0" borderId="80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524" fillId="0" borderId="80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526" fillId="0" borderId="80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528" fillId="0" borderId="80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30" fillId="0" borderId="8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32" fillId="0" borderId="8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34" fillId="0" borderId="8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36" fillId="0" borderId="8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38" fillId="0" borderId="8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40" fillId="0" borderId="8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42" fillId="0" borderId="8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44" fillId="0" borderId="8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46" fillId="0" borderId="8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48" fillId="0" borderId="8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50" fillId="0" borderId="8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52" fillId="0" borderId="8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54" fillId="0" borderId="8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56" fillId="0" borderId="8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58" fillId="0" borderId="8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60" fillId="0" borderId="8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62" fillId="0" borderId="80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564" fillId="0" borderId="8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566" fillId="0" borderId="80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568" fillId="0" borderId="80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70" fillId="0" borderId="8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72" fillId="0" borderId="8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74" fillId="0" borderId="8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76" fillId="0" borderId="8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78" fillId="0" borderId="8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80" fillId="0" borderId="8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82" fillId="0" borderId="8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84" fillId="0" borderId="8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86" fillId="0" borderId="8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88" fillId="0" borderId="8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90" fillId="0" borderId="8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92" fillId="0" borderId="8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94" fillId="0" borderId="8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96" fillId="0" borderId="8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98" fillId="0" borderId="8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00" fillId="0" borderId="8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02" fillId="0" borderId="80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604" fillId="0" borderId="80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606" fillId="0" borderId="8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608" fillId="0" borderId="80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10" fillId="0" borderId="8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12" fillId="0" borderId="8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14" fillId="0" borderId="8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16" fillId="0" borderId="8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18" fillId="0" borderId="8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20" fillId="0" borderId="8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22" fillId="0" borderId="8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24" fillId="0" borderId="8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26" fillId="0" borderId="8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28" fillId="0" borderId="8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30" fillId="0" borderId="8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32" fillId="0" borderId="8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34" fillId="0" borderId="8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36" fillId="0" borderId="8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38" fillId="0" borderId="8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40" fillId="0" borderId="8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42" fillId="0" borderId="80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644" fillId="0" borderId="80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646" fillId="0" borderId="80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648" fillId="0" borderId="80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50" fillId="0" borderId="8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52" fillId="0" borderId="8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54" fillId="0" borderId="8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56" fillId="0" borderId="8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58" fillId="0" borderId="8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60" fillId="0" borderId="8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62" fillId="0" borderId="8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64" fillId="0" borderId="8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66" fillId="0" borderId="8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68" fillId="0" borderId="8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70" fillId="0" borderId="8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72" fillId="0" borderId="8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74" fillId="0" borderId="8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76" fillId="0" borderId="8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78" fillId="0" borderId="8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80" fillId="0" borderId="8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82" fillId="0" borderId="80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684" fillId="0" borderId="80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686" fillId="0" borderId="80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688" fillId="0" borderId="80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90" fillId="0" borderId="8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92" fillId="0" borderId="8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94" fillId="0" borderId="8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96" fillId="0" borderId="8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98" fillId="0" borderId="8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00" fillId="0" borderId="8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02" fillId="0" borderId="8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04" fillId="0" borderId="8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06" fillId="0" borderId="8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08" fillId="0" borderId="8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10" fillId="0" borderId="8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12" fillId="0" borderId="8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14" fillId="0" borderId="8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16" fillId="0" borderId="8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18" fillId="0" borderId="8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20" fillId="0" borderId="8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22" fillId="0" borderId="81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724" fillId="0" borderId="8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726" fillId="0" borderId="8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728" fillId="0" borderId="81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730" fillId="0" borderId="8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32" fillId="0" borderId="8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34" fillId="0" borderId="8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36" fillId="0" borderId="8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38" fillId="0" borderId="8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40" fillId="0" borderId="8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42" fillId="0" borderId="8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44" fillId="0" borderId="8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46" fillId="0" borderId="8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48" fillId="0" borderId="8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50" fillId="0" borderId="8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52" fillId="0" borderId="8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54" fillId="0" borderId="8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56" fillId="0" borderId="8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58" fillId="0" borderId="8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60" fillId="0" borderId="8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62" fillId="0" borderId="81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764" fillId="0" borderId="8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766" fillId="0" borderId="8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768" fillId="0" borderId="8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770" fillId="0" borderId="8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72" fillId="0" borderId="8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74" fillId="0" borderId="8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76" fillId="0" borderId="8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78" fillId="0" borderId="8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80" fillId="0" borderId="8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82" fillId="0" borderId="8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84" fillId="0" borderId="8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86" fillId="0" borderId="8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88" fillId="0" borderId="8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90" fillId="0" borderId="8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92" fillId="0" borderId="8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94" fillId="0" borderId="8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96" fillId="0" borderId="8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98" fillId="0" borderId="8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00" fillId="0" borderId="8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02" fillId="296" borderId="8142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804" fillId="297" borderId="8143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806" fillId="298" borderId="8144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808" fillId="299" borderId="8145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10" fillId="0" borderId="8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12" fillId="0" borderId="8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14" fillId="0" borderId="8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16" fillId="0" borderId="8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18" fillId="0" borderId="8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20" fillId="0" borderId="8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22" fillId="0" borderId="8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24" fillId="0" borderId="8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26" fillId="0" borderId="8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28" fillId="0" borderId="8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30" fillId="0" borderId="8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32" fillId="0" borderId="8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34" fillId="0" borderId="8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36" fillId="0" borderId="8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38" fillId="0" borderId="8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40" fillId="0" borderId="8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42" fillId="0" borderId="8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44" fillId="0" borderId="8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46" fillId="0" borderId="8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48" fillId="0" borderId="8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50" fillId="0" borderId="8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52" fillId="0" borderId="8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54" fillId="0" borderId="8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56" fillId="0" borderId="8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58" fillId="0" borderId="8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60" fillId="0" borderId="8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62" fillId="0" borderId="8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64" fillId="0" borderId="8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66" fillId="0" borderId="8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68" fillId="0" borderId="8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70" fillId="0" borderId="8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72" fillId="0" borderId="8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74" fillId="0" borderId="8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76" fillId="0" borderId="8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78" fillId="0" borderId="8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80" fillId="0" borderId="8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82" fillId="0" borderId="8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84" fillId="0" borderId="8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86" fillId="0" borderId="8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88" fillId="0" borderId="8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90" fillId="0" borderId="8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92" fillId="0" borderId="8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94" fillId="0" borderId="8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96" fillId="0" borderId="8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98" fillId="0" borderId="8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00" fillId="0" borderId="8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02" fillId="0" borderId="8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04" fillId="0" borderId="8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06" fillId="0" borderId="8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08" fillId="0" borderId="8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10" fillId="0" borderId="8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12" fillId="0" borderId="8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14" fillId="0" borderId="8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16" fillId="0" borderId="8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18" fillId="0" borderId="8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20" fillId="0" borderId="8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8202" xfId="0"/>
    <xf numFmtId="0" fontId="9922" fillId="0" borderId="8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24" fillId="0" borderId="8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26" fillId="0" borderId="8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28" fillId="0" borderId="8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30" fillId="0" borderId="8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32" fillId="0" borderId="8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34" fillId="0" borderId="8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36" fillId="0" borderId="8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38" fillId="0" borderId="8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40" fillId="0" borderId="8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42" fillId="0" borderId="8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44" fillId="0" borderId="8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46" fillId="0" borderId="8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48" fillId="0" borderId="8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50" fillId="0" borderId="8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52" fillId="0" borderId="8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54" fillId="0" borderId="8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56" fillId="0" borderId="8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58" fillId="0" borderId="8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60" fillId="0" borderId="8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62" fillId="0" borderId="8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64" fillId="0" borderId="8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66" fillId="0" borderId="8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68" fillId="0" borderId="8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70" fillId="0" borderId="8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72" fillId="0" borderId="8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74" fillId="0" borderId="8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76" fillId="0" borderId="8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78" fillId="0" borderId="8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80" fillId="0" borderId="8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82" fillId="0" borderId="8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84" fillId="0" borderId="8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86" fillId="0" borderId="8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88" fillId="0" borderId="8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90" fillId="0" borderId="8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92" fillId="0" borderId="8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94" fillId="0" borderId="8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96" fillId="0" borderId="8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98" fillId="0" borderId="8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00" fillId="0" borderId="8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02" fillId="0" borderId="82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004" fillId="0" borderId="8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06" fillId="0" borderId="8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08" fillId="0" borderId="8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10" fillId="0" borderId="8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12" fillId="0" borderId="8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14" fillId="0" borderId="8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16" fillId="0" borderId="8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18" fillId="0" borderId="8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20" fillId="0" borderId="8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22" fillId="0" borderId="8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24" fillId="0" borderId="8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26" fillId="0" borderId="8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28" fillId="0" borderId="8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30" fillId="0" borderId="8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32" fillId="0" borderId="8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34" fillId="0" borderId="8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36" fillId="0" borderId="8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38" fillId="0" borderId="8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40" fillId="0" borderId="8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42" fillId="0" borderId="82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044" fillId="0" borderId="8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046" fillId="0" borderId="8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048" fillId="0" borderId="8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50" fillId="0" borderId="8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52" fillId="0" borderId="8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54" fillId="0" borderId="8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56" fillId="0" borderId="8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58" fillId="0" borderId="8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60" fillId="0" borderId="8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62" fillId="0" borderId="8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64" fillId="0" borderId="8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66" fillId="0" borderId="8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68" fillId="0" borderId="8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70" fillId="0" borderId="8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72" fillId="0" borderId="8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74" fillId="0" borderId="8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76" fillId="0" borderId="8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78" fillId="0" borderId="8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80" fillId="0" borderId="8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82" fillId="0" borderId="82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084" fillId="0" borderId="8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086" fillId="0" borderId="8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088" fillId="0" borderId="8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90" fillId="0" borderId="8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92" fillId="0" borderId="8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94" fillId="0" borderId="8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96" fillId="0" borderId="8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98" fillId="0" borderId="8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00" fillId="0" borderId="8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02" fillId="0" borderId="8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04" fillId="0" borderId="8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06" fillId="0" borderId="8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08" fillId="0" borderId="8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10" fillId="0" borderId="8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12" fillId="0" borderId="8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14" fillId="0" borderId="8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16" fillId="0" borderId="8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18" fillId="0" borderId="8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20" fillId="0" borderId="8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22" fillId="0" borderId="83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124" fillId="0" borderId="83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126" fillId="0" borderId="8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128" fillId="0" borderId="8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30" fillId="0" borderId="8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32" fillId="0" borderId="8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34" fillId="0" borderId="8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36" fillId="0" borderId="8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38" fillId="0" borderId="8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40" fillId="0" borderId="8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42" fillId="0" borderId="8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44" fillId="0" borderId="8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46" fillId="0" borderId="8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48" fillId="0" borderId="8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50" fillId="0" borderId="8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52" fillId="0" borderId="8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54" fillId="0" borderId="8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56" fillId="0" borderId="8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58" fillId="0" borderId="8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60" fillId="0" borderId="8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62" fillId="0" borderId="83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164" fillId="0" borderId="8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166" fillId="0" borderId="8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168" fillId="0" borderId="8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70" fillId="0" borderId="8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72" fillId="0" borderId="8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74" fillId="0" borderId="8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76" fillId="0" borderId="8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78" fillId="0" borderId="8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80" fillId="0" borderId="8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82" fillId="0" borderId="8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84" fillId="0" borderId="8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86" fillId="0" borderId="8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88" fillId="0" borderId="8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90" fillId="0" borderId="8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92" fillId="0" borderId="8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94" fillId="0" borderId="8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96" fillId="0" borderId="8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98" fillId="0" borderId="8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00" fillId="0" borderId="8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02" fillId="0" borderId="83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204" fillId="0" borderId="8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206" fillId="0" borderId="8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208" fillId="0" borderId="8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10" fillId="0" borderId="8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12" fillId="0" borderId="8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14" fillId="0" borderId="8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16" fillId="0" borderId="8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18" fillId="0" borderId="8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20" fillId="0" borderId="8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22" fillId="0" borderId="8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24" fillId="0" borderId="8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26" fillId="0" borderId="8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28" fillId="0" borderId="8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30" fillId="0" borderId="8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32" fillId="0" borderId="8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34" fillId="0" borderId="8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36" fillId="0" borderId="8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38" fillId="0" borderId="8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40" fillId="0" borderId="8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42" fillId="0" borderId="83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244" fillId="0" borderId="8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246" fillId="0" borderId="83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248" fillId="0" borderId="8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50" fillId="0" borderId="8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52" fillId="0" borderId="8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54" fillId="0" borderId="8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56" fillId="0" borderId="8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58" fillId="0" borderId="8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60" fillId="0" borderId="8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62" fillId="0" borderId="8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64" fillId="0" borderId="8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66" fillId="0" borderId="8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68" fillId="0" borderId="8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70" fillId="0" borderId="8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72" fillId="0" borderId="8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74" fillId="0" borderId="8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76" fillId="0" borderId="8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78" fillId="0" borderId="8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80" fillId="0" borderId="8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82" fillId="0" borderId="83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284" fillId="0" borderId="8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286" fillId="0" borderId="8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288" fillId="0" borderId="8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90" fillId="0" borderId="8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92" fillId="0" borderId="8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94" fillId="0" borderId="8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96" fillId="0" borderId="8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98" fillId="0" borderId="8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00" fillId="0" borderId="8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02" fillId="0" borderId="8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04" fillId="0" borderId="8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06" fillId="0" borderId="8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08" fillId="0" borderId="8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10" fillId="0" borderId="8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12" fillId="0" borderId="8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14" fillId="0" borderId="8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16" fillId="0" borderId="8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18" fillId="0" borderId="8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20" fillId="0" borderId="8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22" fillId="0" borderId="84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324" fillId="0" borderId="8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326" fillId="0" borderId="8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328" fillId="0" borderId="84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30" fillId="0" borderId="8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32" fillId="0" borderId="8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34" fillId="0" borderId="8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36" fillId="0" borderId="8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38" fillId="0" borderId="8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40" fillId="0" borderId="8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42" fillId="0" borderId="8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44" fillId="0" borderId="8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46" fillId="0" borderId="8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48" fillId="0" borderId="8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50" fillId="0" borderId="8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52" fillId="0" borderId="8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54" fillId="0" borderId="8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56" fillId="0" borderId="8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58" fillId="0" borderId="8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60" fillId="0" borderId="8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62" fillId="0" borderId="84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364" fillId="0" borderId="8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366" fillId="0" borderId="8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368" fillId="0" borderId="8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70" fillId="0" borderId="8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72" fillId="0" borderId="8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74" fillId="0" borderId="8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76" fillId="0" borderId="8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78" fillId="0" borderId="8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80" fillId="0" borderId="8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82" fillId="0" borderId="8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84" fillId="0" borderId="8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86" fillId="0" borderId="8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88" fillId="0" borderId="8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90" fillId="0" borderId="8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92" fillId="0" borderId="8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94" fillId="0" borderId="8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96" fillId="0" borderId="8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98" fillId="0" borderId="8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00" fillId="0" borderId="8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02" fillId="0" borderId="84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404" fillId="0" borderId="8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406" fillId="0" borderId="8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408" fillId="0" borderId="84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10" fillId="0" borderId="8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12" fillId="0" borderId="8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14" fillId="0" borderId="8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16" fillId="0" borderId="8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18" fillId="0" borderId="8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20" fillId="0" borderId="8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22" fillId="0" borderId="8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24" fillId="0" borderId="8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26" fillId="0" borderId="8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28" fillId="0" borderId="8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30" fillId="0" borderId="8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32" fillId="0" borderId="8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34" fillId="0" borderId="8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36" fillId="0" borderId="8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38" fillId="0" borderId="8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40" fillId="0" borderId="8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42" fillId="0" borderId="84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444" fillId="0" borderId="8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446" fillId="0" borderId="8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448" fillId="0" borderId="8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50" fillId="0" borderId="8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52" fillId="0" borderId="8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54" fillId="0" borderId="8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56" fillId="0" borderId="8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58" fillId="0" borderId="8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60" fillId="0" borderId="8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62" fillId="0" borderId="8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64" fillId="0" borderId="8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66" fillId="0" borderId="8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68" fillId="0" borderId="8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70" fillId="0" borderId="8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72" fillId="0" borderId="8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74" fillId="0" borderId="8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76" fillId="0" borderId="8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78" fillId="0" borderId="8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80" fillId="0" borderId="8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82" fillId="0" borderId="84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484" fillId="0" borderId="8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486" fillId="0" borderId="8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488" fillId="0" borderId="8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90" fillId="0" borderId="8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92" fillId="0" borderId="8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94" fillId="0" borderId="8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96" fillId="0" borderId="8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98" fillId="0" borderId="8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00" fillId="0" borderId="8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02" fillId="0" borderId="8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04" fillId="0" borderId="8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06" fillId="0" borderId="8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08" fillId="0" borderId="8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10" fillId="0" borderId="8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12" fillId="0" borderId="8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14" fillId="0" borderId="8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16" fillId="0" borderId="8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18" fillId="0" borderId="8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20" fillId="0" borderId="8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22" fillId="0" borderId="85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524" fillId="0" borderId="8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526" fillId="0" borderId="85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528" fillId="0" borderId="8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30" fillId="0" borderId="8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32" fillId="0" borderId="8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34" fillId="0" borderId="8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36" fillId="0" borderId="8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38" fillId="0" borderId="8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40" fillId="0" borderId="8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42" fillId="0" borderId="8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44" fillId="0" borderId="8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46" fillId="0" borderId="8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48" fillId="0" borderId="8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50" fillId="0" borderId="8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52" fillId="0" borderId="8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54" fillId="0" borderId="8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56" fillId="0" borderId="8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58" fillId="0" borderId="8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60" fillId="0" borderId="8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62" fillId="0" borderId="85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564" fillId="0" borderId="8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566" fillId="0" borderId="8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568" fillId="0" borderId="8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70" fillId="0" borderId="8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72" fillId="0" borderId="8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74" fillId="0" borderId="8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76" fillId="0" borderId="8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78" fillId="0" borderId="8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80" fillId="0" borderId="8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82" fillId="0" borderId="8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84" fillId="0" borderId="8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86" fillId="0" borderId="8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88" fillId="0" borderId="8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90" fillId="0" borderId="8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92" fillId="0" borderId="8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94" fillId="0" borderId="8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96" fillId="0" borderId="8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98" fillId="0" borderId="8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00" fillId="0" borderId="8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02" fillId="300" borderId="8543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604" fillId="301" borderId="8544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606" fillId="302" borderId="8545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608" fillId="303" borderId="8546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10" fillId="0" borderId="8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12" fillId="0" borderId="8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14" fillId="0" borderId="8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16" fillId="0" borderId="8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18" fillId="0" borderId="8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20" fillId="0" borderId="8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22" fillId="0" borderId="8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24" fillId="0" borderId="8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26" fillId="0" borderId="8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28" fillId="0" borderId="8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30" fillId="0" borderId="8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32" fillId="0" borderId="8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34" fillId="0" borderId="8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36" fillId="0" borderId="8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38" fillId="0" borderId="8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40" fillId="0" borderId="8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42" fillId="0" borderId="8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44" fillId="0" borderId="8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46" fillId="0" borderId="8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48" fillId="0" borderId="8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50" fillId="0" borderId="8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52" fillId="0" borderId="8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54" fillId="0" borderId="8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56" fillId="0" borderId="8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58" fillId="0" borderId="8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60" fillId="0" borderId="8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62" fillId="0" borderId="8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64" fillId="0" borderId="8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66" fillId="0" borderId="8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68" fillId="0" borderId="8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70" fillId="0" borderId="8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72" fillId="0" borderId="8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74" fillId="0" borderId="8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76" fillId="0" borderId="8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78" fillId="0" borderId="8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80" fillId="0" borderId="8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82" fillId="0" borderId="8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84" fillId="0" borderId="8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86" fillId="0" borderId="8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88" fillId="0" borderId="8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90" fillId="0" borderId="8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92" fillId="0" borderId="8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94" fillId="0" borderId="8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96" fillId="0" borderId="8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98" fillId="0" borderId="8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00" fillId="0" borderId="8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02" fillId="0" borderId="8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04" fillId="0" borderId="8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06" fillId="0" borderId="8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08" fillId="0" borderId="8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10" fillId="0" borderId="8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12" fillId="0" borderId="8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14" fillId="0" borderId="8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16" fillId="0" borderId="8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18" fillId="0" borderId="8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20" fillId="0" borderId="8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8603" xfId="0"/>
    <xf numFmtId="0" fontId="10722" fillId="0" borderId="8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24" fillId="0" borderId="8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26" fillId="0" borderId="8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28" fillId="0" borderId="8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30" fillId="0" borderId="8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32" fillId="0" borderId="8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34" fillId="0" borderId="8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36" fillId="0" borderId="8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38" fillId="0" borderId="8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40" fillId="0" borderId="8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42" fillId="0" borderId="8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44" fillId="0" borderId="8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46" fillId="0" borderId="8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48" fillId="0" borderId="8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50" fillId="0" borderId="8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52" fillId="0" borderId="8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54" fillId="0" borderId="8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56" fillId="0" borderId="8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58" fillId="0" borderId="8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60" fillId="0" borderId="8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62" fillId="0" borderId="8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64" fillId="0" borderId="8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66" fillId="0" borderId="8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68" fillId="0" borderId="86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70" fillId="0" borderId="8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72" fillId="0" borderId="8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74" fillId="0" borderId="8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76" fillId="0" borderId="8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78" fillId="0" borderId="8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80" fillId="0" borderId="8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82" fillId="0" borderId="8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84" fillId="0" borderId="8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86" fillId="0" borderId="8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88" fillId="0" borderId="8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90" fillId="0" borderId="8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92" fillId="0" borderId="8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94" fillId="0" borderId="8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96" fillId="0" borderId="8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98" fillId="0" borderId="8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00" fillId="0" borderId="8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02" fillId="0" borderId="86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804" fillId="0" borderId="8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06" fillId="0" borderId="8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08" fillId="0" borderId="8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10" fillId="0" borderId="8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12" fillId="0" borderId="8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14" fillId="0" borderId="8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16" fillId="0" borderId="8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18" fillId="0" borderId="8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20" fillId="0" borderId="8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22" fillId="0" borderId="8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24" fillId="0" borderId="8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26" fillId="0" borderId="8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28" fillId="0" borderId="8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30" fillId="0" borderId="8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32" fillId="0" borderId="8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34" fillId="0" borderId="8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36" fillId="0" borderId="8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38" fillId="0" borderId="8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40" fillId="0" borderId="8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42" fillId="0" borderId="86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844" fillId="0" borderId="86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846" fillId="0" borderId="8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848" fillId="0" borderId="8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50" fillId="0" borderId="8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52" fillId="0" borderId="8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54" fillId="0" borderId="8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56" fillId="0" borderId="8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58" fillId="0" borderId="8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60" fillId="0" borderId="8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62" fillId="0" borderId="8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64" fillId="0" borderId="8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66" fillId="0" borderId="8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68" fillId="0" borderId="8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70" fillId="0" borderId="8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72" fillId="0" borderId="8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74" fillId="0" borderId="8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76" fillId="0" borderId="8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78" fillId="0" borderId="8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80" fillId="0" borderId="8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82" fillId="0" borderId="86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884" fillId="0" borderId="86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886" fillId="0" borderId="8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888" fillId="0" borderId="86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90" fillId="0" borderId="8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92" fillId="0" borderId="8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94" fillId="0" borderId="8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96" fillId="0" borderId="8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98" fillId="0" borderId="8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00" fillId="0" borderId="8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02" fillId="0" borderId="8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04" fillId="0" borderId="8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06" fillId="0" borderId="8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08" fillId="0" borderId="8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10" fillId="0" borderId="8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12" fillId="0" borderId="8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14" fillId="0" borderId="8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16" fillId="0" borderId="8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18" fillId="0" borderId="8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20" fillId="0" borderId="8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22" fillId="0" borderId="87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924" fillId="0" borderId="8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926" fillId="0" borderId="87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928" fillId="0" borderId="87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30" fillId="0" borderId="8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32" fillId="0" borderId="8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34" fillId="0" borderId="8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36" fillId="0" borderId="8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38" fillId="0" borderId="8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40" fillId="0" borderId="8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42" fillId="0" borderId="8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44" fillId="0" borderId="8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46" fillId="0" borderId="8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48" fillId="0" borderId="8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50" fillId="0" borderId="8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52" fillId="0" borderId="8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54" fillId="0" borderId="8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56" fillId="0" borderId="8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58" fillId="0" borderId="8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60" fillId="0" borderId="8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62" fillId="0" borderId="87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964" fillId="0" borderId="87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966" fillId="0" borderId="87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968" fillId="0" borderId="8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70" fillId="0" borderId="8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72" fillId="0" borderId="8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74" fillId="0" borderId="8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76" fillId="0" borderId="8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78" fillId="0" borderId="8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80" fillId="0" borderId="8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82" fillId="0" borderId="8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84" fillId="0" borderId="8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86" fillId="0" borderId="8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88" fillId="0" borderId="8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90" fillId="0" borderId="8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92" fillId="0" borderId="8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94" fillId="0" borderId="8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96" fillId="0" borderId="8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98" fillId="0" borderId="8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00" fillId="0" borderId="8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02" fillId="0" borderId="87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004" fillId="0" borderId="87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006" fillId="0" borderId="87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008" fillId="0" borderId="87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10" fillId="0" borderId="8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12" fillId="0" borderId="8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14" fillId="0" borderId="8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16" fillId="0" borderId="8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18" fillId="0" borderId="8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20" fillId="0" borderId="8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22" fillId="0" borderId="8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24" fillId="0" borderId="8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26" fillId="0" borderId="8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28" fillId="0" borderId="8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30" fillId="0" borderId="8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32" fillId="0" borderId="8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34" fillId="0" borderId="8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36" fillId="0" borderId="8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38" fillId="0" borderId="8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40" fillId="0" borderId="8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42" fillId="0" borderId="87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044" fillId="0" borderId="87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046" fillId="0" borderId="87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048" fillId="0" borderId="87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50" fillId="0" borderId="8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52" fillId="0" borderId="8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54" fillId="0" borderId="8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56" fillId="0" borderId="8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58" fillId="0" borderId="8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60" fillId="0" borderId="8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62" fillId="0" borderId="8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64" fillId="0" borderId="8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66" fillId="0" borderId="8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68" fillId="0" borderId="8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70" fillId="0" borderId="8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72" fillId="0" borderId="8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74" fillId="0" borderId="8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76" fillId="0" borderId="8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78" fillId="0" borderId="8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80" fillId="0" borderId="8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82" fillId="0" borderId="87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084" fillId="0" borderId="87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086" fillId="0" borderId="87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088" fillId="0" borderId="87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90" fillId="0" borderId="8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92" fillId="0" borderId="8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94" fillId="0" borderId="8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96" fillId="0" borderId="8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98" fillId="0" borderId="8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00" fillId="0" borderId="8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02" fillId="0" borderId="8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04" fillId="0" borderId="8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06" fillId="0" borderId="8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08" fillId="0" borderId="8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10" fillId="0" borderId="8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12" fillId="0" borderId="8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14" fillId="0" borderId="8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16" fillId="0" borderId="8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18" fillId="0" borderId="8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20" fillId="0" borderId="8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22" fillId="0" borderId="88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124" fillId="0" borderId="8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126" fillId="0" borderId="8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128" fillId="0" borderId="8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30" fillId="0" borderId="8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32" fillId="0" borderId="8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34" fillId="0" borderId="8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36" fillId="0" borderId="8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38" fillId="0" borderId="8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40" fillId="0" borderId="8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42" fillId="0" borderId="8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44" fillId="0" borderId="8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46" fillId="0" borderId="8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48" fillId="0" borderId="8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50" fillId="0" borderId="8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52" fillId="0" borderId="8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54" fillId="0" borderId="8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56" fillId="0" borderId="8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58" fillId="0" borderId="8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60" fillId="0" borderId="8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62" fillId="0" borderId="88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164" fillId="0" borderId="8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166" fillId="0" borderId="88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168" fillId="0" borderId="88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70" fillId="0" borderId="8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72" fillId="0" borderId="8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74" fillId="0" borderId="8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76" fillId="0" borderId="8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78" fillId="0" borderId="8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80" fillId="0" borderId="8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82" fillId="0" borderId="8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84" fillId="0" borderId="8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86" fillId="0" borderId="8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88" fillId="0" borderId="8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90" fillId="0" borderId="8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92" fillId="0" borderId="8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94" fillId="0" borderId="8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96" fillId="0" borderId="8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98" fillId="0" borderId="8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00" fillId="0" borderId="8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02" fillId="0" borderId="88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204" fillId="0" borderId="88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206" fillId="0" borderId="8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208" fillId="0" borderId="8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10" fillId="0" borderId="8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12" fillId="0" borderId="8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14" fillId="0" borderId="8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16" fillId="0" borderId="8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18" fillId="0" borderId="8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20" fillId="0" borderId="8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22" fillId="0" borderId="8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24" fillId="0" borderId="8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26" fillId="0" borderId="8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28" fillId="0" borderId="8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30" fillId="0" borderId="8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32" fillId="0" borderId="8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34" fillId="0" borderId="8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36" fillId="0" borderId="8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38" fillId="0" borderId="8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40" fillId="0" borderId="8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42" fillId="0" borderId="88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244" fillId="0" borderId="88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246" fillId="0" borderId="88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248" fillId="0" borderId="8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50" fillId="0" borderId="8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52" fillId="0" borderId="8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54" fillId="0" borderId="8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56" fillId="0" borderId="8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58" fillId="0" borderId="8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60" fillId="0" borderId="8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62" fillId="0" borderId="8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64" fillId="0" borderId="8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66" fillId="0" borderId="8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68" fillId="0" borderId="8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70" fillId="0" borderId="8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72" fillId="0" borderId="8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74" fillId="0" borderId="8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76" fillId="0" borderId="8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78" fillId="0" borderId="8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80" fillId="0" borderId="8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82" fillId="0" borderId="88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284" fillId="0" borderId="8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286" fillId="0" borderId="88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288" fillId="0" borderId="88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90" fillId="0" borderId="8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92" fillId="0" borderId="8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94" fillId="0" borderId="8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96" fillId="0" borderId="8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98" fillId="0" borderId="8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00" fillId="0" borderId="8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02" fillId="0" borderId="8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04" fillId="0" borderId="8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06" fillId="0" borderId="8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08" fillId="0" borderId="8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10" fillId="0" borderId="8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12" fillId="0" borderId="8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14" fillId="0" borderId="8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16" fillId="0" borderId="8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18" fillId="0" borderId="8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20" fillId="0" borderId="8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22" fillId="0" borderId="89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324" fillId="0" borderId="89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326" fillId="0" borderId="8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328" fillId="0" borderId="89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30" fillId="0" borderId="8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32" fillId="0" borderId="8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34" fillId="0" borderId="8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36" fillId="0" borderId="8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38" fillId="0" borderId="8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40" fillId="0" borderId="8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42" fillId="0" borderId="8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44" fillId="0" borderId="8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46" fillId="0" borderId="8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48" fillId="0" borderId="8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50" fillId="0" borderId="8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52" fillId="0" borderId="8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54" fillId="0" borderId="8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56" fillId="0" borderId="8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58" fillId="0" borderId="8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60" fillId="0" borderId="8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62" fillId="0" borderId="89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364" fillId="0" borderId="8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366" fillId="0" borderId="89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368" fillId="0" borderId="89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70" fillId="0" borderId="8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72" fillId="0" borderId="8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74" fillId="0" borderId="8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76" fillId="0" borderId="8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78" fillId="0" borderId="8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80" fillId="0" borderId="8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82" fillId="0" borderId="8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84" fillId="0" borderId="8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86" fillId="0" borderId="8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88" fillId="0" borderId="8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90" fillId="0" borderId="8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92" fillId="0" borderId="8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94" fillId="0" borderId="8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96" fillId="0" borderId="8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98" fillId="0" borderId="8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00" fillId="0" borderId="8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02" fillId="304" borderId="8944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404" fillId="305" borderId="8945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406" fillId="306" borderId="8946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408" fillId="307" borderId="8947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10" fillId="0" borderId="8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12" fillId="0" borderId="8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14" fillId="0" borderId="8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16" fillId="0" borderId="8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18" fillId="0" borderId="8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20" fillId="0" borderId="8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22" fillId="0" borderId="8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24" fillId="0" borderId="8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26" fillId="0" borderId="8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28" fillId="0" borderId="8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30" fillId="0" borderId="8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32" fillId="0" borderId="8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34" fillId="0" borderId="8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36" fillId="0" borderId="8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38" fillId="0" borderId="8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40" fillId="0" borderId="8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42" fillId="0" borderId="8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44" fillId="0" borderId="8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46" fillId="0" borderId="8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48" fillId="0" borderId="8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50" fillId="0" borderId="8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52" fillId="0" borderId="8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54" fillId="0" borderId="8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56" fillId="0" borderId="8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58" fillId="0" borderId="8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60" fillId="0" borderId="8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62" fillId="0" borderId="8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64" fillId="0" borderId="8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66" fillId="0" borderId="8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68" fillId="0" borderId="8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70" fillId="0" borderId="8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72" fillId="0" borderId="8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74" fillId="0" borderId="8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76" fillId="0" borderId="8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78" fillId="0" borderId="8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80" fillId="0" borderId="8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82" fillId="0" borderId="8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84" fillId="0" borderId="8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86" fillId="0" borderId="8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88" fillId="0" borderId="8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90" fillId="0" borderId="8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92" fillId="0" borderId="8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94" fillId="0" borderId="8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96" fillId="0" borderId="8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98" fillId="0" borderId="8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00" fillId="0" borderId="8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02" fillId="0" borderId="8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04" fillId="0" borderId="8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06" fillId="0" borderId="8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08" fillId="0" borderId="8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10" fillId="0" borderId="8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12" fillId="0" borderId="8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14" fillId="0" borderId="9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16" fillId="0" borderId="9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18" fillId="0" borderId="9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20" fillId="0" borderId="9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9004" xfId="0"/>
    <xf numFmtId="0" fontId="11522" fillId="0" borderId="9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24" fillId="0" borderId="9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26" fillId="0" borderId="9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28" fillId="0" borderId="9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30" fillId="0" borderId="9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32" fillId="0" borderId="9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34" fillId="0" borderId="9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36" fillId="0" borderId="9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38" fillId="0" borderId="9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40" fillId="0" borderId="9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42" fillId="0" borderId="9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44" fillId="0" borderId="9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46" fillId="0" borderId="9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48" fillId="0" borderId="9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50" fillId="0" borderId="9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52" fillId="0" borderId="9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54" fillId="0" borderId="9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56" fillId="0" borderId="9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58" fillId="0" borderId="9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60" fillId="0" borderId="9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62" fillId="0" borderId="9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64" fillId="0" borderId="9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66" fillId="0" borderId="90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68" fillId="0" borderId="90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70" fillId="0" borderId="9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72" fillId="0" borderId="9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74" fillId="0" borderId="9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76" fillId="0" borderId="9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78" fillId="0" borderId="9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80" fillId="0" borderId="9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82" fillId="0" borderId="9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84" fillId="0" borderId="9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86" fillId="0" borderId="9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88" fillId="0" borderId="9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90" fillId="0" borderId="9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92" fillId="0" borderId="9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94" fillId="0" borderId="9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96" fillId="0" borderId="9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98" fillId="0" borderId="9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00" fillId="0" borderId="9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02" fillId="0" borderId="90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604" fillId="0" borderId="9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06" fillId="0" borderId="9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08" fillId="0" borderId="9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10" fillId="0" borderId="9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12" fillId="0" borderId="9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14" fillId="0" borderId="9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16" fillId="0" borderId="9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18" fillId="0" borderId="9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20" fillId="0" borderId="9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22" fillId="0" borderId="9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24" fillId="0" borderId="9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26" fillId="0" borderId="9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28" fillId="0" borderId="9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30" fillId="0" borderId="9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32" fillId="0" borderId="9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34" fillId="0" borderId="9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36" fillId="0" borderId="9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38" fillId="0" borderId="9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40" fillId="0" borderId="9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42" fillId="0" borderId="90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644" fillId="0" borderId="90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646" fillId="0" borderId="90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648" fillId="0" borderId="90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650" fillId="0" borderId="9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52" fillId="0" borderId="9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54" fillId="0" borderId="9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56" fillId="0" borderId="9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58" fillId="0" borderId="9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60" fillId="0" borderId="9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62" fillId="0" borderId="9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64" fillId="0" borderId="9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66" fillId="0" borderId="9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68" fillId="0" borderId="9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70" fillId="0" borderId="9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72" fillId="0" borderId="9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74" fillId="0" borderId="9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76" fillId="0" borderId="9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78" fillId="0" borderId="9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80" fillId="0" borderId="9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82" fillId="0" borderId="90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684" fillId="0" borderId="90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686" fillId="0" borderId="90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688" fillId="0" borderId="90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690" fillId="0" borderId="9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92" fillId="0" borderId="9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94" fillId="0" borderId="9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96" fillId="0" borderId="9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98" fillId="0" borderId="9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00" fillId="0" borderId="9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02" fillId="0" borderId="9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04" fillId="0" borderId="9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06" fillId="0" borderId="9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08" fillId="0" borderId="9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10" fillId="0" borderId="9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12" fillId="0" borderId="9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14" fillId="0" borderId="9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16" fillId="0" borderId="9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18" fillId="0" borderId="9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20" fillId="0" borderId="9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22" fillId="0" borderId="91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724" fillId="0" borderId="9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726" fillId="0" borderId="9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728" fillId="0" borderId="9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30" fillId="0" borderId="9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32" fillId="0" borderId="9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34" fillId="0" borderId="9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36" fillId="0" borderId="9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38" fillId="0" borderId="9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40" fillId="0" borderId="9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42" fillId="0" borderId="9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44" fillId="0" borderId="9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46" fillId="0" borderId="9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48" fillId="0" borderId="9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50" fillId="0" borderId="9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52" fillId="0" borderId="9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54" fillId="0" borderId="9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56" fillId="0" borderId="9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58" fillId="0" borderId="9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60" fillId="0" borderId="9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62" fillId="0" borderId="91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764" fillId="0" borderId="9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766" fillId="0" borderId="9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768" fillId="0" borderId="9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70" fillId="0" borderId="9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72" fillId="0" borderId="9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74" fillId="0" borderId="9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76" fillId="0" borderId="9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78" fillId="0" borderId="9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80" fillId="0" borderId="9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82" fillId="0" borderId="9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84" fillId="0" borderId="9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86" fillId="0" borderId="9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88" fillId="0" borderId="9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90" fillId="0" borderId="9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92" fillId="0" borderId="9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94" fillId="0" borderId="9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96" fillId="0" borderId="9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98" fillId="0" borderId="9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00" fillId="0" borderId="9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02" fillId="0" borderId="91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804" fillId="0" borderId="9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806" fillId="0" borderId="9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808" fillId="0" borderId="9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10" fillId="0" borderId="9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12" fillId="0" borderId="9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14" fillId="0" borderId="9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16" fillId="0" borderId="9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18" fillId="0" borderId="9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20" fillId="0" borderId="9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22" fillId="0" borderId="9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24" fillId="0" borderId="9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26" fillId="0" borderId="9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28" fillId="0" borderId="9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30" fillId="0" borderId="9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32" fillId="0" borderId="9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34" fillId="0" borderId="9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36" fillId="0" borderId="9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38" fillId="0" borderId="9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40" fillId="0" borderId="9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42" fillId="0" borderId="91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844" fillId="0" borderId="9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846" fillId="0" borderId="9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848" fillId="0" borderId="9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50" fillId="0" borderId="9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52" fillId="0" borderId="9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54" fillId="0" borderId="9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56" fillId="0" borderId="9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58" fillId="0" borderId="9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60" fillId="0" borderId="9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62" fillId="0" borderId="9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64" fillId="0" borderId="9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66" fillId="0" borderId="9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68" fillId="0" borderId="9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70" fillId="0" borderId="9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72" fillId="0" borderId="9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74" fillId="0" borderId="9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76" fillId="0" borderId="9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78" fillId="0" borderId="9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80" fillId="0" borderId="9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82" fillId="0" borderId="91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884" fillId="0" borderId="9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886" fillId="0" borderId="9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888" fillId="0" borderId="9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90" fillId="0" borderId="9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92" fillId="0" borderId="9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94" fillId="0" borderId="9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96" fillId="0" borderId="9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98" fillId="0" borderId="9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00" fillId="0" borderId="9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02" fillId="0" borderId="9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04" fillId="0" borderId="9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06" fillId="0" borderId="9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08" fillId="0" borderId="9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10" fillId="0" borderId="9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12" fillId="0" borderId="9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14" fillId="0" borderId="9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16" fillId="0" borderId="9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18" fillId="0" borderId="9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20" fillId="0" borderId="9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22" fillId="0" borderId="92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924" fillId="0" borderId="9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926" fillId="0" borderId="9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928" fillId="0" borderId="9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30" fillId="0" borderId="9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32" fillId="0" borderId="9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34" fillId="0" borderId="9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36" fillId="0" borderId="9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38" fillId="0" borderId="9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40" fillId="0" borderId="9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42" fillId="0" borderId="9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44" fillId="0" borderId="9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46" fillId="0" borderId="9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48" fillId="0" borderId="9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50" fillId="0" borderId="9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52" fillId="0" borderId="9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54" fillId="0" borderId="9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56" fillId="0" borderId="9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58" fillId="0" borderId="9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60" fillId="0" borderId="9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62" fillId="0" borderId="92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964" fillId="0" borderId="9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966" fillId="0" borderId="9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968" fillId="0" borderId="9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70" fillId="0" borderId="9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72" fillId="0" borderId="9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74" fillId="0" borderId="9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76" fillId="0" borderId="9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78" fillId="0" borderId="9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80" fillId="0" borderId="9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82" fillId="0" borderId="9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84" fillId="0" borderId="9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86" fillId="0" borderId="9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88" fillId="0" borderId="9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90" fillId="0" borderId="9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92" fillId="0" borderId="9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94" fillId="0" borderId="9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96" fillId="0" borderId="9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98" fillId="0" borderId="9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00" fillId="0" borderId="9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02" fillId="0" borderId="92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2004" fillId="0" borderId="9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006" fillId="0" borderId="9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008" fillId="0" borderId="9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10" fillId="0" borderId="9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12" fillId="0" borderId="9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14" fillId="0" borderId="9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16" fillId="0" borderId="9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18" fillId="0" borderId="9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20" fillId="0" borderId="9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22" fillId="0" borderId="9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24" fillId="0" borderId="9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26" fillId="0" borderId="9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28" fillId="0" borderId="9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30" fillId="0" borderId="9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32" fillId="0" borderId="9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34" fillId="0" borderId="9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36" fillId="0" borderId="9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38" fillId="0" borderId="9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40" fillId="0" borderId="9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42" fillId="0" borderId="92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2044" fillId="0" borderId="9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046" fillId="0" borderId="9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048" fillId="0" borderId="92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50" fillId="0" borderId="9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52" fillId="0" borderId="9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54" fillId="0" borderId="9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56" fillId="0" borderId="9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58" fillId="0" borderId="9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60" fillId="0" borderId="9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62" fillId="0" borderId="9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64" fillId="0" borderId="9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66" fillId="0" borderId="9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68" fillId="0" borderId="9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70" fillId="0" borderId="9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72" fillId="0" borderId="9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74" fillId="0" borderId="9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76" fillId="0" borderId="9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78" fillId="0" borderId="9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80" fillId="0" borderId="9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82" fillId="0" borderId="92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2084" fillId="0" borderId="9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086" fillId="0" borderId="92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088" fillId="0" borderId="9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90" fillId="0" borderId="9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92" fillId="0" borderId="9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94" fillId="0" borderId="9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96" fillId="0" borderId="9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98" fillId="0" borderId="9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00" fillId="0" borderId="9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02" fillId="0" borderId="9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04" fillId="0" borderId="9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06" fillId="0" borderId="9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08" fillId="0" borderId="9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10" fillId="0" borderId="9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12" fillId="0" borderId="9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14" fillId="0" borderId="9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16" fillId="0" borderId="9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18" fillId="0" borderId="9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20" fillId="0" borderId="9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22" fillId="0" borderId="93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2124" fillId="0" borderId="9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126" fillId="0" borderId="93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128" fillId="0" borderId="93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30" fillId="0" borderId="9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32" fillId="0" borderId="9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34" fillId="0" borderId="9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36" fillId="0" borderId="9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38" fillId="0" borderId="9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40" fillId="0" borderId="9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42" fillId="0" borderId="9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44" fillId="0" borderId="9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46" fillId="0" borderId="9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48" fillId="0" borderId="9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50" fillId="0" borderId="9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52" fillId="0" borderId="9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54" fillId="0" borderId="9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56" fillId="0" borderId="9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58" fillId="0" borderId="9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60" fillId="0" borderId="9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62" fillId="0" borderId="93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2164" fillId="0" borderId="9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166" fillId="0" borderId="9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168" fillId="0" borderId="93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70" fillId="0" borderId="9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72" fillId="0" borderId="9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74" fillId="0" borderId="9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76" fillId="0" borderId="9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78" fillId="0" borderId="9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80" fillId="0" borderId="9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82" fillId="0" borderId="9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84" fillId="0" borderId="9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86" fillId="0" borderId="9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88" fillId="0" borderId="9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90" fillId="0" borderId="9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92" fillId="0" borderId="9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94" fillId="0" borderId="9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96" fillId="0" borderId="9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98" fillId="0" borderId="9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00" fillId="0" borderId="9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02" fillId="308" borderId="9345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2204" fillId="309" borderId="9346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206" fillId="310" borderId="9347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208" fillId="311" borderId="9348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10" fillId="0" borderId="9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12" fillId="0" borderId="9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14" fillId="0" borderId="9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16" fillId="0" borderId="9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18" fillId="0" borderId="9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20" fillId="0" borderId="9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22" fillId="0" borderId="9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24" fillId="0" borderId="9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26" fillId="0" borderId="9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28" fillId="0" borderId="9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30" fillId="0" borderId="9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32" fillId="0" borderId="9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34" fillId="0" borderId="9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36" fillId="0" borderId="9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38" fillId="0" borderId="9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40" fillId="0" borderId="9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42" fillId="0" borderId="9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44" fillId="0" borderId="9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46" fillId="0" borderId="9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48" fillId="0" borderId="9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50" fillId="0" borderId="9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52" fillId="0" borderId="9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54" fillId="0" borderId="9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56" fillId="0" borderId="9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58" fillId="0" borderId="9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60" fillId="0" borderId="9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62" fillId="0" borderId="9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64" fillId="0" borderId="9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66" fillId="0" borderId="9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68" fillId="0" borderId="9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70" fillId="0" borderId="9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72" fillId="0" borderId="9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74" fillId="0" borderId="9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76" fillId="0" borderId="9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78" fillId="0" borderId="9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80" fillId="0" borderId="9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82" fillId="0" borderId="9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84" fillId="0" borderId="9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86" fillId="0" borderId="9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88" fillId="0" borderId="9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90" fillId="0" borderId="9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92" fillId="0" borderId="9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94" fillId="0" borderId="9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96" fillId="0" borderId="9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98" fillId="0" borderId="9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00" fillId="0" borderId="9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02" fillId="0" borderId="9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04" fillId="0" borderId="9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06" fillId="0" borderId="9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08" fillId="0" borderId="9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10" fillId="0" borderId="9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12" fillId="0" borderId="9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14" fillId="0" borderId="9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16" fillId="0" borderId="9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18" fillId="0" borderId="9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20" fillId="0" borderId="9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9405" xfId="0"/>
    <xf numFmtId="0" fontId="12322" fillId="0" borderId="9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24" fillId="0" borderId="9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26" fillId="0" borderId="9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28" fillId="0" borderId="9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30" fillId="0" borderId="9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32" fillId="0" borderId="9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34" fillId="0" borderId="9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36" fillId="0" borderId="9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38" fillId="0" borderId="9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40" fillId="0" borderId="9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42" fillId="0" borderId="9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44" fillId="0" borderId="9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46" fillId="0" borderId="9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48" fillId="0" borderId="9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50" fillId="0" borderId="9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52" fillId="0" borderId="9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54" fillId="0" borderId="9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56" fillId="0" borderId="9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58" fillId="0" borderId="9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60" fillId="0" borderId="9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62" fillId="0" borderId="9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64" fillId="0" borderId="9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66" fillId="0" borderId="94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68" fillId="0" borderId="9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70" fillId="0" borderId="9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72" fillId="0" borderId="9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74" fillId="0" borderId="9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76" fillId="0" borderId="9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78" fillId="0" borderId="9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80" fillId="0" borderId="9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82" fillId="0" borderId="9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84" fillId="0" borderId="9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86" fillId="0" borderId="9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88" fillId="0" borderId="9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90" fillId="0" borderId="9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92" fillId="0" borderId="9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94" fillId="0" borderId="9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96" fillId="0" borderId="9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98" fillId="0" borderId="9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00" fillId="0" borderId="9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02" fillId="0" borderId="94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404" fillId="0" borderId="9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06" fillId="0" borderId="9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08" fillId="0" borderId="9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10" fillId="0" borderId="9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12" fillId="0" borderId="9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14" fillId="0" borderId="9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16" fillId="0" borderId="9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18" fillId="0" borderId="9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20" fillId="0" borderId="9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22" fillId="0" borderId="9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24" fillId="0" borderId="9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26" fillId="0" borderId="9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28" fillId="0" borderId="9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30" fillId="0" borderId="9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32" fillId="0" borderId="9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34" fillId="0" borderId="9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36" fillId="0" borderId="9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38" fillId="0" borderId="9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40" fillId="0" borderId="9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42" fillId="0" borderId="94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2444" fillId="0" borderId="94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446" fillId="0" borderId="9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448" fillId="0" borderId="9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50" fillId="0" borderId="9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52" fillId="0" borderId="9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54" fillId="0" borderId="9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56" fillId="0" borderId="9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58" fillId="0" borderId="9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60" fillId="0" borderId="9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62" fillId="0" borderId="9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64" fillId="0" borderId="9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66" fillId="0" borderId="9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68" fillId="0" borderId="9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70" fillId="0" borderId="9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72" fillId="0" borderId="9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74" fillId="0" borderId="9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76" fillId="0" borderId="9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78" fillId="0" borderId="9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80" fillId="0" borderId="9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82" fillId="0" borderId="94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2484" fillId="0" borderId="9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486" fillId="0" borderId="9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488" fillId="0" borderId="9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90" fillId="0" borderId="9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92" fillId="0" borderId="9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94" fillId="0" borderId="9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96" fillId="0" borderId="9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98" fillId="0" borderId="9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00" fillId="0" borderId="9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02" fillId="0" borderId="9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04" fillId="0" borderId="9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06" fillId="0" borderId="9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08" fillId="0" borderId="9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10" fillId="0" borderId="9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12" fillId="0" borderId="9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14" fillId="0" borderId="9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16" fillId="0" borderId="9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18" fillId="0" borderId="9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20" fillId="0" borderId="9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22" fillId="0" borderId="95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2524" fillId="0" borderId="9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526" fillId="0" borderId="95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528" fillId="0" borderId="9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530" fillId="0" borderId="9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32" fillId="0" borderId="9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34" fillId="0" borderId="9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36" fillId="0" borderId="9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38" fillId="0" borderId="9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40" fillId="0" borderId="9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42" fillId="0" borderId="9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44" fillId="0" borderId="9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46" fillId="0" borderId="9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48" fillId="0" borderId="9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50" fillId="0" borderId="9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52" fillId="0" borderId="9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54" fillId="0" borderId="9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56" fillId="0" borderId="9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58" fillId="0" borderId="9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60" fillId="0" borderId="9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62" fillId="0" borderId="95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2564" fillId="0" borderId="9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566" fillId="0" borderId="9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568" fillId="0" borderId="9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570" fillId="0" borderId="9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72" fillId="0" borderId="9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74" fillId="0" borderId="9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76" fillId="0" borderId="9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78" fillId="0" borderId="9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80" fillId="0" borderId="9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82" fillId="0" borderId="9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84" fillId="0" borderId="9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86" fillId="0" borderId="9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88" fillId="0" borderId="9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90" fillId="0" borderId="9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92" fillId="0" borderId="9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94" fillId="0" borderId="9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96" fillId="0" borderId="9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98" fillId="0" borderId="9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00" fillId="0" borderId="9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02" fillId="0" borderId="95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2604" fillId="0" borderId="9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606" fillId="0" borderId="9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608" fillId="0" borderId="9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610" fillId="0" borderId="9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12" fillId="0" borderId="9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14" fillId="0" borderId="9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16" fillId="0" borderId="9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18" fillId="0" borderId="9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20" fillId="0" borderId="9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22" fillId="0" borderId="9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24" fillId="0" borderId="9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26" fillId="0" borderId="9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28" fillId="0" borderId="9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30" fillId="0" borderId="9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32" fillId="0" borderId="9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34" fillId="0" borderId="9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36" fillId="0" borderId="9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38" fillId="0" borderId="9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40" fillId="0" borderId="9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42" fillId="0" borderId="95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2644" fillId="0" borderId="9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646" fillId="0" borderId="95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648" fillId="0" borderId="95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650" fillId="0" borderId="9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52" fillId="0" borderId="9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54" fillId="0" borderId="9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56" fillId="0" borderId="9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58" fillId="0" borderId="9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60" fillId="0" borderId="9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62" fillId="0" borderId="9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64" fillId="0" borderId="9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66" fillId="0" borderId="9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68" fillId="0" borderId="9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70" fillId="0" borderId="9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72" fillId="0" borderId="9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74" fillId="0" borderId="9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76" fillId="0" borderId="9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78" fillId="0" borderId="9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80" fillId="0" borderId="9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82" fillId="0" borderId="95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2684" fillId="0" borderId="95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686" fillId="0" borderId="9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688" fillId="0" borderId="9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690" fillId="0" borderId="9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92" fillId="0" borderId="9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94" fillId="0" borderId="9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96" fillId="0" borderId="9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98" fillId="0" borderId="9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00" fillId="0" borderId="9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02" fillId="0" borderId="9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04" fillId="0" borderId="9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06" fillId="0" borderId="9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08" fillId="0" borderId="9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10" fillId="0" borderId="9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12" fillId="0" borderId="9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14" fillId="0" borderId="9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16" fillId="0" borderId="9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18" fillId="0" borderId="9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20" fillId="0" borderId="9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22" fillId="0" borderId="96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2724" fillId="0" borderId="96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726" fillId="0" borderId="9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728" fillId="0" borderId="9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30" fillId="0" borderId="9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32" fillId="0" borderId="9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34" fillId="0" borderId="9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36" fillId="0" borderId="9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38" fillId="0" borderId="9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40" fillId="0" borderId="9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42" fillId="0" borderId="9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44" fillId="0" borderId="9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46" fillId="0" borderId="9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48" fillId="0" borderId="9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50" fillId="0" borderId="9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52" fillId="0" borderId="9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54" fillId="0" borderId="9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56" fillId="0" borderId="9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58" fillId="0" borderId="9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60" fillId="0" borderId="9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62" fillId="0" borderId="96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2764" fillId="0" borderId="96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766" fillId="0" borderId="96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768" fillId="0" borderId="9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70" fillId="0" borderId="9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72" fillId="0" borderId="9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74" fillId="0" borderId="9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76" fillId="0" borderId="9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78" fillId="0" borderId="9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80" fillId="0" borderId="9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82" fillId="0" borderId="9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84" fillId="0" borderId="9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86" fillId="0" borderId="9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88" fillId="0" borderId="9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90" fillId="0" borderId="9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92" fillId="0" borderId="9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94" fillId="0" borderId="9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96" fillId="0" borderId="9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98" fillId="0" borderId="9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00" fillId="0" borderId="9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02" fillId="0" borderId="96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2804" fillId="0" borderId="96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806" fillId="0" borderId="9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808" fillId="0" borderId="9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10" fillId="0" borderId="9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12" fillId="0" borderId="9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14" fillId="0" borderId="9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16" fillId="0" borderId="9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18" fillId="0" borderId="9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20" fillId="0" borderId="9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22" fillId="0" borderId="9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24" fillId="0" borderId="9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26" fillId="0" borderId="9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28" fillId="0" borderId="9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30" fillId="0" borderId="9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32" fillId="0" borderId="9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34" fillId="0" borderId="9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36" fillId="0" borderId="9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38" fillId="0" borderId="9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40" fillId="0" borderId="9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42" fillId="0" borderId="96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2844" fillId="0" borderId="9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846" fillId="0" borderId="96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848" fillId="0" borderId="9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50" fillId="0" borderId="9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52" fillId="0" borderId="9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54" fillId="0" borderId="9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56" fillId="0" borderId="9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58" fillId="0" borderId="9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60" fillId="0" borderId="9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62" fillId="0" borderId="9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64" fillId="0" borderId="9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66" fillId="0" borderId="9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68" fillId="0" borderId="9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70" fillId="0" borderId="9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72" fillId="0" borderId="9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74" fillId="0" borderId="9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76" fillId="0" borderId="9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78" fillId="0" borderId="9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80" fillId="0" borderId="9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82" fillId="0" borderId="96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2884" fillId="0" borderId="96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886" fillId="0" borderId="96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888" fillId="0" borderId="96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90" fillId="0" borderId="9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92" fillId="0" borderId="9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94" fillId="0" borderId="9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96" fillId="0" borderId="9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98" fillId="0" borderId="9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00" fillId="0" borderId="9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02" fillId="0" borderId="9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04" fillId="0" borderId="9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06" fillId="0" borderId="9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08" fillId="0" borderId="9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10" fillId="0" borderId="9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12" fillId="0" borderId="9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14" fillId="0" borderId="9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16" fillId="0" borderId="9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18" fillId="0" borderId="9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20" fillId="0" borderId="9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22" fillId="0" borderId="97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2924" fillId="0" borderId="97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926" fillId="0" borderId="9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928" fillId="0" borderId="9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30" fillId="0" borderId="9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32" fillId="0" borderId="9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34" fillId="0" borderId="9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36" fillId="0" borderId="9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38" fillId="0" borderId="9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40" fillId="0" borderId="9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42" fillId="0" borderId="9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44" fillId="0" borderId="9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46" fillId="0" borderId="9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48" fillId="0" borderId="9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50" fillId="0" borderId="9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52" fillId="0" borderId="9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54" fillId="0" borderId="9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56" fillId="0" borderId="9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58" fillId="0" borderId="9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60" fillId="0" borderId="9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62" fillId="0" borderId="97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2964" fillId="0" borderId="9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966" fillId="0" borderId="9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968" fillId="0" borderId="9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70" fillId="0" borderId="9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72" fillId="0" borderId="9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74" fillId="0" borderId="9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76" fillId="0" borderId="9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78" fillId="0" borderId="9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80" fillId="0" borderId="9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82" fillId="0" borderId="9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84" fillId="0" borderId="9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86" fillId="0" borderId="9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88" fillId="0" borderId="9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90" fillId="0" borderId="9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92" fillId="0" borderId="9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94" fillId="0" borderId="9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96" fillId="0" borderId="9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98" fillId="0" borderId="9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00" fillId="0" borderId="9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02" fillId="312" borderId="9746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004" fillId="313" borderId="9747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006" fillId="314" borderId="9748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008" fillId="315" borderId="9749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10" fillId="0" borderId="9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12" fillId="0" borderId="9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14" fillId="0" borderId="9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16" fillId="0" borderId="9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18" fillId="0" borderId="9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20" fillId="0" borderId="9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22" fillId="0" borderId="9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24" fillId="0" borderId="9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26" fillId="0" borderId="9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28" fillId="0" borderId="9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30" fillId="0" borderId="9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32" fillId="0" borderId="9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34" fillId="0" borderId="9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36" fillId="0" borderId="9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38" fillId="0" borderId="9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40" fillId="0" borderId="9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42" fillId="0" borderId="9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44" fillId="0" borderId="9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46" fillId="0" borderId="9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48" fillId="0" borderId="9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50" fillId="0" borderId="9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52" fillId="0" borderId="9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54" fillId="0" borderId="9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56" fillId="0" borderId="9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58" fillId="0" borderId="9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60" fillId="0" borderId="9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62" fillId="0" borderId="9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64" fillId="0" borderId="9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66" fillId="0" borderId="9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68" fillId="0" borderId="9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70" fillId="0" borderId="9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72" fillId="0" borderId="9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74" fillId="0" borderId="9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76" fillId="0" borderId="9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78" fillId="0" borderId="9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80" fillId="0" borderId="9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82" fillId="0" borderId="9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84" fillId="0" borderId="9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86" fillId="0" borderId="9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88" fillId="0" borderId="9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90" fillId="0" borderId="9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92" fillId="0" borderId="9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94" fillId="0" borderId="9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96" fillId="0" borderId="9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98" fillId="0" borderId="9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00" fillId="0" borderId="9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02" fillId="0" borderId="9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04" fillId="0" borderId="9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06" fillId="0" borderId="9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08" fillId="0" borderId="9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10" fillId="0" borderId="9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12" fillId="0" borderId="9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14" fillId="0" borderId="9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16" fillId="0" borderId="9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18" fillId="0" borderId="9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20" fillId="0" borderId="9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9806" xfId="0"/>
    <xf numFmtId="0" fontId="13122" fillId="0" borderId="9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24" fillId="0" borderId="9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26" fillId="0" borderId="9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28" fillId="0" borderId="9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30" fillId="0" borderId="9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32" fillId="0" borderId="9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34" fillId="0" borderId="9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36" fillId="0" borderId="9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38" fillId="0" borderId="9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40" fillId="0" borderId="9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42" fillId="0" borderId="9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44" fillId="0" borderId="9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46" fillId="0" borderId="9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48" fillId="0" borderId="9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50" fillId="0" borderId="9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52" fillId="0" borderId="9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54" fillId="0" borderId="9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56" fillId="0" borderId="9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58" fillId="0" borderId="9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60" fillId="0" borderId="9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62" fillId="0" borderId="9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64" fillId="0" borderId="98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66" fillId="0" borderId="9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68" fillId="0" borderId="9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70" fillId="0" borderId="9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72" fillId="0" borderId="9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74" fillId="0" borderId="9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76" fillId="0" borderId="9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78" fillId="0" borderId="9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80" fillId="0" borderId="9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82" fillId="0" borderId="9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84" fillId="0" borderId="9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86" fillId="0" borderId="9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88" fillId="0" borderId="9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90" fillId="0" borderId="9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92" fillId="0" borderId="9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94" fillId="0" borderId="9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96" fillId="0" borderId="9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98" fillId="0" borderId="9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00" fillId="0" borderId="9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02" fillId="0" borderId="98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204" fillId="0" borderId="9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06" fillId="0" borderId="9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08" fillId="0" borderId="9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10" fillId="0" borderId="9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12" fillId="0" borderId="9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14" fillId="0" borderId="9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16" fillId="0" borderId="9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18" fillId="0" borderId="9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20" fillId="0" borderId="9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22" fillId="0" borderId="9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24" fillId="0" borderId="9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26" fillId="0" borderId="9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28" fillId="0" borderId="9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30" fillId="0" borderId="9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32" fillId="0" borderId="9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34" fillId="0" borderId="9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36" fillId="0" borderId="9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38" fillId="0" borderId="9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40" fillId="0" borderId="9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42" fillId="0" borderId="98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244" fillId="0" borderId="98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246" fillId="0" borderId="98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248" fillId="0" borderId="98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50" fillId="0" borderId="9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52" fillId="0" borderId="9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54" fillId="0" borderId="9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56" fillId="0" borderId="9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58" fillId="0" borderId="9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60" fillId="0" borderId="9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62" fillId="0" borderId="9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64" fillId="0" borderId="9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66" fillId="0" borderId="9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68" fillId="0" borderId="9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70" fillId="0" borderId="9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72" fillId="0" borderId="9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74" fillId="0" borderId="9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76" fillId="0" borderId="9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78" fillId="0" borderId="9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80" fillId="0" borderId="9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82" fillId="0" borderId="98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284" fillId="0" borderId="9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286" fillId="0" borderId="9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288" fillId="0" borderId="98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90" fillId="0" borderId="9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92" fillId="0" borderId="9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94" fillId="0" borderId="9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96" fillId="0" borderId="9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98" fillId="0" borderId="9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00" fillId="0" borderId="9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02" fillId="0" borderId="9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04" fillId="0" borderId="9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06" fillId="0" borderId="9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08" fillId="0" borderId="9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10" fillId="0" borderId="9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12" fillId="0" borderId="9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14" fillId="0" borderId="9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16" fillId="0" borderId="9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18" fillId="0" borderId="9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20" fillId="0" borderId="9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22" fillId="0" borderId="99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324" fillId="0" borderId="99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326" fillId="0" borderId="9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328" fillId="0" borderId="99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30" fillId="0" borderId="9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32" fillId="0" borderId="9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34" fillId="0" borderId="9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36" fillId="0" borderId="9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38" fillId="0" borderId="9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40" fillId="0" borderId="9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42" fillId="0" borderId="9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44" fillId="0" borderId="9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46" fillId="0" borderId="9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48" fillId="0" borderId="9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50" fillId="0" borderId="9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52" fillId="0" borderId="9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54" fillId="0" borderId="9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56" fillId="0" borderId="9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58" fillId="0" borderId="9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60" fillId="0" borderId="9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62" fillId="0" borderId="99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364" fillId="0" borderId="99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366" fillId="0" borderId="99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368" fillId="0" borderId="9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70" fillId="0" borderId="9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72" fillId="0" borderId="9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74" fillId="0" borderId="9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76" fillId="0" borderId="9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78" fillId="0" borderId="9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80" fillId="0" borderId="9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82" fillId="0" borderId="9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84" fillId="0" borderId="9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86" fillId="0" borderId="9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88" fillId="0" borderId="9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90" fillId="0" borderId="9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92" fillId="0" borderId="9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94" fillId="0" borderId="9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96" fillId="0" borderId="9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98" fillId="0" borderId="9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00" fillId="0" borderId="9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02" fillId="0" borderId="99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404" fillId="0" borderId="99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406" fillId="0" borderId="99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408" fillId="0" borderId="99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10" fillId="0" borderId="9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12" fillId="0" borderId="9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14" fillId="0" borderId="9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16" fillId="0" borderId="9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18" fillId="0" borderId="9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20" fillId="0" borderId="9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22" fillId="0" borderId="9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24" fillId="0" borderId="9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26" fillId="0" borderId="9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28" fillId="0" borderId="9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30" fillId="0" borderId="9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32" fillId="0" borderId="9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34" fillId="0" borderId="9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36" fillId="0" borderId="9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38" fillId="0" borderId="9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40" fillId="0" borderId="9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42" fillId="0" borderId="99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444" fillId="0" borderId="99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446" fillId="0" borderId="9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448" fillId="0" borderId="99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50" fillId="0" borderId="9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52" fillId="0" borderId="9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54" fillId="0" borderId="9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56" fillId="0" borderId="9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58" fillId="0" borderId="9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60" fillId="0" borderId="9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62" fillId="0" borderId="9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64" fillId="0" borderId="9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66" fillId="0" borderId="9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68" fillId="0" borderId="9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70" fillId="0" borderId="9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72" fillId="0" borderId="9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74" fillId="0" borderId="9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76" fillId="0" borderId="9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78" fillId="0" borderId="9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80" fillId="0" borderId="9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82" fillId="0" borderId="99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484" fillId="0" borderId="99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486" fillId="0" borderId="99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488" fillId="0" borderId="9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90" fillId="0" borderId="9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92" fillId="0" borderId="9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94" fillId="0" borderId="9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96" fillId="0" borderId="9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98" fillId="0" borderId="9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00" fillId="0" borderId="9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02" fillId="0" borderId="9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04" fillId="0" borderId="9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06" fillId="0" borderId="9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08" fillId="0" borderId="10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10" fillId="0" borderId="10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12" fillId="0" borderId="10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14" fillId="0" borderId="10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16" fillId="0" borderId="10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18" fillId="0" borderId="10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20" fillId="0" borderId="10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22" fillId="0" borderId="100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524" fillId="0" borderId="10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526" fillId="0" borderId="100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528" fillId="0" borderId="100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30" fillId="0" borderId="10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32" fillId="0" borderId="10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34" fillId="0" borderId="10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36" fillId="0" borderId="10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38" fillId="0" borderId="10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40" fillId="0" borderId="10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42" fillId="0" borderId="10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44" fillId="0" borderId="10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46" fillId="0" borderId="10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48" fillId="0" borderId="10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50" fillId="0" borderId="10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52" fillId="0" borderId="10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54" fillId="0" borderId="10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56" fillId="0" borderId="10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58" fillId="0" borderId="10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60" fillId="0" borderId="10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62" fillId="0" borderId="100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564" fillId="0" borderId="100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566" fillId="0" borderId="10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568" fillId="0" borderId="100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70" fillId="0" borderId="10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72" fillId="0" borderId="10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74" fillId="0" borderId="10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76" fillId="0" borderId="10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78" fillId="0" borderId="10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80" fillId="0" borderId="10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82" fillId="0" borderId="10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84" fillId="0" borderId="10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86" fillId="0" borderId="10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88" fillId="0" borderId="10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90" fillId="0" borderId="10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92" fillId="0" borderId="10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94" fillId="0" borderId="10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96" fillId="0" borderId="10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98" fillId="0" borderId="10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00" fillId="0" borderId="10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02" fillId="0" borderId="100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604" fillId="0" borderId="100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606" fillId="0" borderId="100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608" fillId="0" borderId="100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10" fillId="0" borderId="10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12" fillId="0" borderId="10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14" fillId="0" borderId="10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16" fillId="0" borderId="10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18" fillId="0" borderId="10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20" fillId="0" borderId="10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22" fillId="0" borderId="10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24" fillId="0" borderId="10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26" fillId="0" borderId="10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28" fillId="0" borderId="10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30" fillId="0" borderId="10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32" fillId="0" borderId="10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34" fillId="0" borderId="10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36" fillId="0" borderId="10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38" fillId="0" borderId="10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40" fillId="0" borderId="10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42" fillId="0" borderId="100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644" fillId="0" borderId="100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646" fillId="0" borderId="100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648" fillId="0" borderId="100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50" fillId="0" borderId="10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52" fillId="0" borderId="10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54" fillId="0" borderId="10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56" fillId="0" borderId="10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58" fillId="0" borderId="10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60" fillId="0" borderId="10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62" fillId="0" borderId="10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64" fillId="0" borderId="10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66" fillId="0" borderId="10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68" fillId="0" borderId="10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70" fillId="0" borderId="10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72" fillId="0" borderId="10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74" fillId="0" borderId="10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76" fillId="0" borderId="10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78" fillId="0" borderId="10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80" fillId="0" borderId="10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82" fillId="0" borderId="100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684" fillId="0" borderId="100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686" fillId="0" borderId="100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688" fillId="0" borderId="100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90" fillId="0" borderId="10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92" fillId="0" borderId="10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94" fillId="0" borderId="10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96" fillId="0" borderId="10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98" fillId="0" borderId="10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00" fillId="0" borderId="10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02" fillId="0" borderId="10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04" fillId="0" borderId="10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06" fillId="0" borderId="10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08" fillId="0" borderId="10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10" fillId="0" borderId="10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12" fillId="0" borderId="10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14" fillId="0" borderId="10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16" fillId="0" borderId="10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18" fillId="0" borderId="10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20" fillId="0" borderId="10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22" fillId="0" borderId="101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724" fillId="0" borderId="10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726" fillId="0" borderId="10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728" fillId="0" borderId="10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30" fillId="0" borderId="10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32" fillId="0" borderId="10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34" fillId="0" borderId="10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36" fillId="0" borderId="10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38" fillId="0" borderId="10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40" fillId="0" borderId="10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42" fillId="0" borderId="10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44" fillId="0" borderId="10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46" fillId="0" borderId="10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48" fillId="0" borderId="10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50" fillId="0" borderId="10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52" fillId="0" borderId="10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54" fillId="0" borderId="10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56" fillId="0" borderId="10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58" fillId="0" borderId="10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60" fillId="0" borderId="10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62" fillId="0" borderId="101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764" fillId="0" borderId="10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766" fillId="0" borderId="10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768" fillId="0" borderId="10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70" fillId="0" borderId="10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72" fillId="0" borderId="10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74" fillId="0" borderId="10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76" fillId="0" borderId="10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78" fillId="0" borderId="10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80" fillId="0" borderId="10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82" fillId="0" borderId="10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84" fillId="0" borderId="10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86" fillId="0" borderId="10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88" fillId="0" borderId="10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90" fillId="0" borderId="10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92" fillId="0" borderId="10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94" fillId="0" borderId="10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96" fillId="0" borderId="10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98" fillId="0" borderId="10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00" fillId="0" borderId="10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02" fillId="316" borderId="10147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804" fillId="317" borderId="10148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806" fillId="318" borderId="10149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808" fillId="319" borderId="10150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10" fillId="0" borderId="10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12" fillId="0" borderId="10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14" fillId="0" borderId="10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16" fillId="0" borderId="10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18" fillId="0" borderId="10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20" fillId="0" borderId="10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22" fillId="0" borderId="10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24" fillId="0" borderId="10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26" fillId="0" borderId="10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28" fillId="0" borderId="10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30" fillId="0" borderId="10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32" fillId="0" borderId="10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34" fillId="0" borderId="10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36" fillId="0" borderId="10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38" fillId="0" borderId="10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40" fillId="0" borderId="10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42" fillId="0" borderId="10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44" fillId="0" borderId="10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46" fillId="0" borderId="10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48" fillId="0" borderId="10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50" fillId="0" borderId="10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52" fillId="0" borderId="10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54" fillId="0" borderId="10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56" fillId="0" borderId="10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58" fillId="0" borderId="10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60" fillId="0" borderId="10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62" fillId="0" borderId="10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64" fillId="0" borderId="10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66" fillId="0" borderId="10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68" fillId="0" borderId="10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70" fillId="0" borderId="10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72" fillId="0" borderId="10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74" fillId="0" borderId="10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76" fillId="0" borderId="10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78" fillId="0" borderId="10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80" fillId="0" borderId="10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82" fillId="0" borderId="10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84" fillId="0" borderId="10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86" fillId="0" borderId="10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88" fillId="0" borderId="10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90" fillId="0" borderId="10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92" fillId="0" borderId="10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94" fillId="0" borderId="10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96" fillId="0" borderId="10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98" fillId="0" borderId="10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00" fillId="0" borderId="10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02" fillId="0" borderId="10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04" fillId="0" borderId="10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06" fillId="0" borderId="10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08" fillId="0" borderId="10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10" fillId="0" borderId="10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12" fillId="0" borderId="10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14" fillId="0" borderId="10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16" fillId="0" borderId="10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18" fillId="0" borderId="10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20" fillId="0" borderId="10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0207" xfId="0"/>
    <xf numFmtId="0" fontId="13922" fillId="0" borderId="10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24" fillId="0" borderId="10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26" fillId="0" borderId="10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28" fillId="0" borderId="10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30" fillId="0" borderId="10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32" fillId="0" borderId="10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34" fillId="0" borderId="10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36" fillId="0" borderId="10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38" fillId="0" borderId="10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40" fillId="0" borderId="10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42" fillId="0" borderId="10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44" fillId="0" borderId="10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46" fillId="0" borderId="10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48" fillId="0" borderId="10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50" fillId="0" borderId="10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52" fillId="0" borderId="10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54" fillId="0" borderId="10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56" fillId="0" borderId="10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58" fillId="0" borderId="10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60" fillId="0" borderId="10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62" fillId="0" borderId="10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64" fillId="0" borderId="10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966" fillId="0" borderId="102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968" fillId="0" borderId="10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970" fillId="0" borderId="10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72" fillId="0" borderId="10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74" fillId="0" borderId="10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76" fillId="0" borderId="10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78" fillId="0" borderId="10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80" fillId="0" borderId="10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82" fillId="0" borderId="10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84" fillId="0" borderId="10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86" fillId="0" borderId="10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88" fillId="0" borderId="10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90" fillId="0" borderId="10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92" fillId="0" borderId="10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94" fillId="0" borderId="10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96" fillId="0" borderId="10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98" fillId="0" borderId="10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00" fillId="0" borderId="10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02" fillId="0" borderId="102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004" fillId="0" borderId="10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06" fillId="0" borderId="10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08" fillId="0" borderId="10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10" fillId="0" borderId="10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12" fillId="0" borderId="10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14" fillId="0" borderId="10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16" fillId="0" borderId="10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18" fillId="0" borderId="10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20" fillId="0" borderId="10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22" fillId="0" borderId="10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24" fillId="0" borderId="10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26" fillId="0" borderId="10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28" fillId="0" borderId="10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30" fillId="0" borderId="10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32" fillId="0" borderId="10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34" fillId="0" borderId="10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36" fillId="0" borderId="10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38" fillId="0" borderId="10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40" fillId="0" borderId="10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42" fillId="0" borderId="102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4044" fillId="0" borderId="10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046" fillId="0" borderId="10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048" fillId="0" borderId="102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50" fillId="0" borderId="10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52" fillId="0" borderId="10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54" fillId="0" borderId="10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56" fillId="0" borderId="10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58" fillId="0" borderId="10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60" fillId="0" borderId="10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62" fillId="0" borderId="10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64" fillId="0" borderId="10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66" fillId="0" borderId="10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68" fillId="0" borderId="10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70" fillId="0" borderId="10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72" fillId="0" borderId="10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74" fillId="0" borderId="10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76" fillId="0" borderId="10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78" fillId="0" borderId="10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80" fillId="0" borderId="10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82" fillId="0" borderId="102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4084" fillId="0" borderId="10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086" fillId="0" borderId="10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088" fillId="0" borderId="10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90" fillId="0" borderId="10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92" fillId="0" borderId="10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94" fillId="0" borderId="10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96" fillId="0" borderId="10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98" fillId="0" borderId="10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00" fillId="0" borderId="10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02" fillId="0" borderId="10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04" fillId="0" borderId="10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06" fillId="0" borderId="10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08" fillId="0" borderId="10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10" fillId="0" borderId="10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12" fillId="0" borderId="10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14" fillId="0" borderId="10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16" fillId="0" borderId="10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18" fillId="0" borderId="10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20" fillId="0" borderId="10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22" fillId="0" borderId="103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4124" fillId="0" borderId="10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126" fillId="0" borderId="10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128" fillId="0" borderId="10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30" fillId="0" borderId="10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32" fillId="0" borderId="10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34" fillId="0" borderId="10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36" fillId="0" borderId="10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38" fillId="0" borderId="10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40" fillId="0" borderId="10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42" fillId="0" borderId="10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44" fillId="0" borderId="10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46" fillId="0" borderId="10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48" fillId="0" borderId="10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50" fillId="0" borderId="10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52" fillId="0" borderId="10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54" fillId="0" borderId="10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56" fillId="0" borderId="10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58" fillId="0" borderId="10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60" fillId="0" borderId="10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62" fillId="0" borderId="103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4164" fillId="0" borderId="10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166" fillId="0" borderId="10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168" fillId="0" borderId="10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70" fillId="0" borderId="10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72" fillId="0" borderId="10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74" fillId="0" borderId="10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76" fillId="0" borderId="10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78" fillId="0" borderId="10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80" fillId="0" borderId="10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82" fillId="0" borderId="10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84" fillId="0" borderId="10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86" fillId="0" borderId="10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88" fillId="0" borderId="10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90" fillId="0" borderId="10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92" fillId="0" borderId="10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94" fillId="0" borderId="10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96" fillId="0" borderId="10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98" fillId="0" borderId="10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00" fillId="0" borderId="10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02" fillId="0" borderId="103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4204" fillId="0" borderId="10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206" fillId="0" borderId="103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208" fillId="0" borderId="10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10" fillId="0" borderId="10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12" fillId="0" borderId="10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14" fillId="0" borderId="10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16" fillId="0" borderId="10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18" fillId="0" borderId="10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20" fillId="0" borderId="10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22" fillId="0" borderId="10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24" fillId="0" borderId="10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26" fillId="0" borderId="10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28" fillId="0" borderId="10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30" fillId="0" borderId="10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32" fillId="0" borderId="10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34" fillId="0" borderId="10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36" fillId="0" borderId="10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38" fillId="0" borderId="10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40" fillId="0" borderId="10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42" fillId="0" borderId="103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4244" fillId="0" borderId="10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246" fillId="0" borderId="10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248" fillId="0" borderId="10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50" fillId="0" borderId="10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52" fillId="0" borderId="10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54" fillId="0" borderId="10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56" fillId="0" borderId="10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58" fillId="0" borderId="10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60" fillId="0" borderId="10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62" fillId="0" borderId="10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64" fillId="0" borderId="10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66" fillId="0" borderId="10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68" fillId="0" borderId="10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70" fillId="0" borderId="10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72" fillId="0" borderId="10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74" fillId="0" borderId="10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76" fillId="0" borderId="10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78" fillId="0" borderId="10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80" fillId="0" borderId="10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82" fillId="0" borderId="103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4284" fillId="0" borderId="10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286" fillId="0" borderId="10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288" fillId="0" borderId="10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90" fillId="0" borderId="10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92" fillId="0" borderId="10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94" fillId="0" borderId="10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96" fillId="0" borderId="10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98" fillId="0" borderId="10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00" fillId="0" borderId="10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02" fillId="0" borderId="10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04" fillId="0" borderId="10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06" fillId="0" borderId="10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08" fillId="0" borderId="10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10" fillId="0" borderId="10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12" fillId="0" borderId="10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14" fillId="0" borderId="10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16" fillId="0" borderId="10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18" fillId="0" borderId="10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20" fillId="0" borderId="10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22" fillId="0" borderId="104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4324" fillId="0" borderId="10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326" fillId="0" borderId="10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328" fillId="0" borderId="10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30" fillId="0" borderId="10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32" fillId="0" borderId="10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34" fillId="0" borderId="10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36" fillId="0" borderId="10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38" fillId="0" borderId="10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40" fillId="0" borderId="10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42" fillId="0" borderId="10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44" fillId="0" borderId="10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46" fillId="0" borderId="10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48" fillId="0" borderId="10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50" fillId="0" borderId="10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52" fillId="0" borderId="10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54" fillId="0" borderId="10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56" fillId="0" borderId="10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58" fillId="0" borderId="10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60" fillId="0" borderId="10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62" fillId="0" borderId="104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4364" fillId="0" borderId="10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366" fillId="0" borderId="104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368" fillId="0" borderId="10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70" fillId="0" borderId="10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72" fillId="0" borderId="10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74" fillId="0" borderId="10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76" fillId="0" borderId="10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78" fillId="0" borderId="10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80" fillId="0" borderId="10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82" fillId="0" borderId="10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84" fillId="0" borderId="10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86" fillId="0" borderId="10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88" fillId="0" borderId="10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90" fillId="0" borderId="10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92" fillId="0" borderId="10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94" fillId="0" borderId="10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96" fillId="0" borderId="10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98" fillId="0" borderId="10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00" fillId="0" borderId="10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02" fillId="0" borderId="104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4404" fillId="0" borderId="10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406" fillId="0" borderId="10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408" fillId="0" borderId="10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410" fillId="0" borderId="10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12" fillId="0" borderId="10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14" fillId="0" borderId="10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16" fillId="0" borderId="10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18" fillId="0" borderId="10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20" fillId="0" borderId="10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22" fillId="0" borderId="10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24" fillId="0" borderId="10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26" fillId="0" borderId="10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28" fillId="0" borderId="10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30" fillId="0" borderId="10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32" fillId="0" borderId="10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34" fillId="0" borderId="10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36" fillId="0" borderId="10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38" fillId="0" borderId="10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40" fillId="0" borderId="10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42" fillId="0" borderId="104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4444" fillId="0" borderId="10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446" fillId="0" borderId="10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448" fillId="0" borderId="10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450" fillId="0" borderId="10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52" fillId="0" borderId="10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54" fillId="0" borderId="10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56" fillId="0" borderId="10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58" fillId="0" borderId="10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60" fillId="0" borderId="10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62" fillId="0" borderId="10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64" fillId="0" borderId="10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66" fillId="0" borderId="10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68" fillId="0" borderId="10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70" fillId="0" borderId="10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72" fillId="0" borderId="10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74" fillId="0" borderId="10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76" fillId="0" borderId="10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78" fillId="0" borderId="10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80" fillId="0" borderId="10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82" fillId="0" borderId="104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4484" fillId="0" borderId="10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486" fillId="0" borderId="10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488" fillId="0" borderId="10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490" fillId="0" borderId="10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92" fillId="0" borderId="10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94" fillId="0" borderId="10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96" fillId="0" borderId="10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98" fillId="0" borderId="10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00" fillId="0" borderId="10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02" fillId="0" borderId="10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04" fillId="0" borderId="10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06" fillId="0" borderId="10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08" fillId="0" borderId="10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10" fillId="0" borderId="10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12" fillId="0" borderId="10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14" fillId="0" borderId="10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16" fillId="0" borderId="10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18" fillId="0" borderId="10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20" fillId="0" borderId="10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22" fillId="0" borderId="105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4524" fillId="0" borderId="10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526" fillId="0" borderId="10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528" fillId="0" borderId="10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530" fillId="0" borderId="10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32" fillId="0" borderId="10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34" fillId="0" borderId="10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36" fillId="0" borderId="10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38" fillId="0" borderId="10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40" fillId="0" borderId="10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42" fillId="0" borderId="10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44" fillId="0" borderId="10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46" fillId="0" borderId="10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48" fillId="0" borderId="10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50" fillId="0" borderId="10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52" fillId="0" borderId="10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54" fillId="0" borderId="10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56" fillId="0" borderId="10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58" fillId="0" borderId="10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60" fillId="0" borderId="10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62" fillId="0" borderId="105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4564" fillId="0" borderId="10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566" fillId="0" borderId="10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568" fillId="0" borderId="10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570" fillId="0" borderId="10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72" fillId="0" borderId="10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74" fillId="0" borderId="10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76" fillId="0" borderId="10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78" fillId="0" borderId="10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80" fillId="0" borderId="10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82" fillId="0" borderId="10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84" fillId="0" borderId="10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86" fillId="0" borderId="10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88" fillId="0" borderId="10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90" fillId="0" borderId="10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92" fillId="0" borderId="10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94" fillId="0" borderId="10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96" fillId="0" borderId="10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98" fillId="0" borderId="10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00" fillId="0" borderId="10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02" fillId="320" borderId="10548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4604" fillId="321" borderId="10549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606" fillId="322" borderId="10550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608" fillId="323" borderId="10551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10" fillId="0" borderId="10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12" fillId="0" borderId="10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14" fillId="0" borderId="10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16" fillId="0" borderId="10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18" fillId="0" borderId="10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20" fillId="0" borderId="10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22" fillId="0" borderId="10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24" fillId="0" borderId="10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26" fillId="0" borderId="10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28" fillId="0" borderId="10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30" fillId="0" borderId="10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32" fillId="0" borderId="10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34" fillId="0" borderId="10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36" fillId="0" borderId="10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38" fillId="0" borderId="10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40" fillId="0" borderId="10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42" fillId="0" borderId="10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44" fillId="0" borderId="10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46" fillId="0" borderId="10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48" fillId="0" borderId="10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50" fillId="0" borderId="10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52" fillId="0" borderId="10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54" fillId="0" borderId="10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56" fillId="0" borderId="10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58" fillId="0" borderId="10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60" fillId="0" borderId="10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62" fillId="0" borderId="10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64" fillId="0" borderId="10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66" fillId="0" borderId="10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68" fillId="0" borderId="10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70" fillId="0" borderId="10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72" fillId="0" borderId="10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74" fillId="0" borderId="10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76" fillId="0" borderId="10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78" fillId="0" borderId="10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80" fillId="0" borderId="10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82" fillId="0" borderId="10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84" fillId="0" borderId="10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86" fillId="0" borderId="10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88" fillId="0" borderId="10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90" fillId="0" borderId="10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92" fillId="0" borderId="10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94" fillId="0" borderId="10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96" fillId="0" borderId="10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98" fillId="0" borderId="10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00" fillId="0" borderId="10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02" fillId="0" borderId="10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04" fillId="0" borderId="10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06" fillId="0" borderId="10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08" fillId="0" borderId="10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10" fillId="0" borderId="10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12" fillId="0" borderId="10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14" fillId="0" borderId="10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16" fillId="0" borderId="10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18" fillId="0" borderId="10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20" fillId="0" borderId="10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0608" xfId="0"/>
    <xf numFmtId="0" fontId="14722" fillId="0" borderId="10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24" fillId="0" borderId="10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26" fillId="0" borderId="10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28" fillId="0" borderId="10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30" fillId="0" borderId="10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32" fillId="0" borderId="10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34" fillId="0" borderId="10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36" fillId="0" borderId="10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38" fillId="0" borderId="10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40" fillId="0" borderId="10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42" fillId="0" borderId="10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44" fillId="0" borderId="10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46" fillId="0" borderId="10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48" fillId="0" borderId="10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50" fillId="0" borderId="10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52" fillId="0" borderId="10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54" fillId="0" borderId="10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56" fillId="0" borderId="10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58" fillId="0" borderId="10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60" fillId="0" borderId="10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62" fillId="0" borderId="10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64" fillId="0" borderId="10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66" fillId="0" borderId="106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68" fillId="0" borderId="106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70" fillId="0" borderId="10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72" fillId="0" borderId="10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74" fillId="0" borderId="10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76" fillId="0" borderId="10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78" fillId="0" borderId="10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80" fillId="0" borderId="10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82" fillId="0" borderId="10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84" fillId="0" borderId="10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86" fillId="0" borderId="10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88" fillId="0" borderId="10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90" fillId="0" borderId="10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92" fillId="0" borderId="10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94" fillId="0" borderId="10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96" fillId="0" borderId="10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98" fillId="0" borderId="10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00" fillId="0" borderId="10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02" fillId="0" borderId="106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804" fillId="0" borderId="10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06" fillId="0" borderId="10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08" fillId="0" borderId="10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10" fillId="0" borderId="10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12" fillId="0" borderId="10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14" fillId="0" borderId="10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16" fillId="0" borderId="10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18" fillId="0" borderId="10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20" fillId="0" borderId="10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22" fillId="0" borderId="10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24" fillId="0" borderId="10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26" fillId="0" borderId="10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28" fillId="0" borderId="10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30" fillId="0" borderId="10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32" fillId="0" borderId="10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34" fillId="0" borderId="10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36" fillId="0" borderId="10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38" fillId="0" borderId="10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40" fillId="0" borderId="10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42" fillId="0" borderId="106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4844" fillId="0" borderId="10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846" fillId="0" borderId="10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848" fillId="0" borderId="106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850" fillId="0" borderId="10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52" fillId="0" borderId="10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54" fillId="0" borderId="10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56" fillId="0" borderId="10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58" fillId="0" borderId="10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60" fillId="0" borderId="10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62" fillId="0" borderId="10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64" fillId="0" borderId="10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66" fillId="0" borderId="10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68" fillId="0" borderId="10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70" fillId="0" borderId="10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72" fillId="0" borderId="10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74" fillId="0" borderId="10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76" fillId="0" borderId="10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78" fillId="0" borderId="10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80" fillId="0" borderId="10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82" fillId="0" borderId="106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4884" fillId="0" borderId="106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886" fillId="0" borderId="10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888" fillId="0" borderId="106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890" fillId="0" borderId="10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92" fillId="0" borderId="10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94" fillId="0" borderId="10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96" fillId="0" borderId="10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98" fillId="0" borderId="10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00" fillId="0" borderId="10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02" fillId="0" borderId="10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04" fillId="0" borderId="10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06" fillId="0" borderId="10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08" fillId="0" borderId="10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10" fillId="0" borderId="10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12" fillId="0" borderId="10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14" fillId="0" borderId="10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16" fillId="0" borderId="10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18" fillId="0" borderId="10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20" fillId="0" borderId="10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22" fillId="0" borderId="107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4924" fillId="0" borderId="107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926" fillId="0" borderId="10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928" fillId="0" borderId="10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930" fillId="0" borderId="10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32" fillId="0" borderId="10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34" fillId="0" borderId="10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36" fillId="0" borderId="10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38" fillId="0" borderId="10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40" fillId="0" borderId="10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42" fillId="0" borderId="10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44" fillId="0" borderId="10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46" fillId="0" borderId="10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48" fillId="0" borderId="10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50" fillId="0" borderId="10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52" fillId="0" borderId="10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54" fillId="0" borderId="10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56" fillId="0" borderId="10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58" fillId="0" borderId="10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60" fillId="0" borderId="10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62" fillId="0" borderId="107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4964" fillId="0" borderId="107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966" fillId="0" borderId="10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968" fillId="0" borderId="10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970" fillId="0" borderId="10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72" fillId="0" borderId="10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74" fillId="0" borderId="10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76" fillId="0" borderId="10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78" fillId="0" borderId="10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80" fillId="0" borderId="10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82" fillId="0" borderId="10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84" fillId="0" borderId="10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86" fillId="0" borderId="10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88" fillId="0" borderId="10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90" fillId="0" borderId="10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92" fillId="0" borderId="10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94" fillId="0" borderId="10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96" fillId="0" borderId="10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98" fillId="0" borderId="10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00" fillId="0" borderId="10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02" fillId="0" borderId="107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5004" fillId="0" borderId="107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006" fillId="0" borderId="107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5008" fillId="0" borderId="107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10" fillId="0" borderId="10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12" fillId="0" borderId="10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14" fillId="0" borderId="10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16" fillId="0" borderId="10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18" fillId="0" borderId="10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20" fillId="0" borderId="10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22" fillId="0" borderId="10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24" fillId="0" borderId="10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26" fillId="0" borderId="10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28" fillId="0" borderId="10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30" fillId="0" borderId="10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32" fillId="0" borderId="10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34" fillId="0" borderId="10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36" fillId="0" borderId="10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38" fillId="0" borderId="10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40" fillId="0" borderId="10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42" fillId="0" borderId="107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5044" fillId="0" borderId="107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046" fillId="0" borderId="107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5048" fillId="0" borderId="107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50" fillId="0" borderId="10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52" fillId="0" borderId="10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54" fillId="0" borderId="10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56" fillId="0" borderId="10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58" fillId="0" borderId="10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60" fillId="0" borderId="10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62" fillId="0" borderId="10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64" fillId="0" borderId="10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66" fillId="0" borderId="10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68" fillId="0" borderId="10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70" fillId="0" borderId="10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72" fillId="0" borderId="10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74" fillId="0" borderId="10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76" fillId="0" borderId="10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78" fillId="0" borderId="10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80" fillId="0" borderId="10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82" fillId="0" borderId="107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5084" fillId="0" borderId="10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086" fillId="0" borderId="107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5088" fillId="0" borderId="107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90" fillId="0" borderId="10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92" fillId="0" borderId="10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94" fillId="0" borderId="10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96" fillId="0" borderId="10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98" fillId="0" borderId="10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00" fillId="0" borderId="10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02" fillId="0" borderId="10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04" fillId="0" borderId="10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06" fillId="0" borderId="10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08" fillId="0" borderId="10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10" fillId="0" borderId="10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12" fillId="0" borderId="10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14" fillId="0" borderId="10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16" fillId="0" borderId="10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18" fillId="0" borderId="10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20" fillId="0" borderId="10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22" fillId="0" borderId="108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5124" fillId="0" borderId="108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126" fillId="0" borderId="10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5128" fillId="0" borderId="108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30" fillId="0" borderId="10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32" fillId="0" borderId="10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34" fillId="0" borderId="10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36" fillId="0" borderId="10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38" fillId="0" borderId="10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40" fillId="0" borderId="10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42" fillId="0" borderId="10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44" fillId="0" borderId="10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46" fillId="0" borderId="10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48" fillId="0" borderId="10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50" fillId="0" borderId="10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52" fillId="0" borderId="10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54" fillId="0" borderId="10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56" fillId="0" borderId="10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58" fillId="0" borderId="10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60" fillId="0" borderId="10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62" fillId="0" borderId="108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5164" fillId="0" borderId="10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166" fillId="0" borderId="10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5168" fillId="0" borderId="108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70" fillId="0" borderId="10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72" fillId="0" borderId="10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74" fillId="0" borderId="10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76" fillId="0" borderId="10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78" fillId="0" borderId="10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80" fillId="0" borderId="10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82" fillId="0" borderId="10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84" fillId="0" borderId="10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86" fillId="0" borderId="10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88" fillId="0" borderId="10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90" fillId="0" borderId="10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92" fillId="0" borderId="10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94" fillId="0" borderId="10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96" fillId="0" borderId="10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98" fillId="0" borderId="10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00" fillId="0" borderId="10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02" fillId="0" borderId="108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5204" fillId="0" borderId="10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206" fillId="0" borderId="10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5208" fillId="0" borderId="108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10" fillId="0" borderId="10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12" fillId="0" borderId="10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14" fillId="0" borderId="10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16" fillId="0" borderId="10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18" fillId="0" borderId="10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20" fillId="0" borderId="10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22" fillId="0" borderId="10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24" fillId="0" borderId="10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26" fillId="0" borderId="10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28" fillId="0" borderId="10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30" fillId="0" borderId="10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32" fillId="0" borderId="10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34" fillId="0" borderId="10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36" fillId="0" borderId="10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38" fillId="0" borderId="10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40" fillId="0" borderId="10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42" fillId="0" borderId="108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5244" fillId="0" borderId="108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246" fillId="0" borderId="10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5248" fillId="0" borderId="108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50" fillId="0" borderId="10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52" fillId="0" borderId="10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54" fillId="0" borderId="10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56" fillId="0" borderId="10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58" fillId="0" borderId="10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60" fillId="0" borderId="10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62" fillId="0" borderId="10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64" fillId="0" borderId="10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66" fillId="0" borderId="10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68" fillId="0" borderId="10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70" fillId="0" borderId="10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72" fillId="0" borderId="10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74" fillId="0" borderId="10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76" fillId="0" borderId="10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78" fillId="0" borderId="10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80" fillId="0" borderId="10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82" fillId="0" borderId="108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5284" fillId="0" borderId="108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286" fillId="0" borderId="10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5288" fillId="0" borderId="108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90" fillId="0" borderId="10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92" fillId="0" borderId="10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94" fillId="0" borderId="10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96" fillId="0" borderId="10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98" fillId="0" borderId="10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00" fillId="0" borderId="10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02" fillId="0" borderId="10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04" fillId="0" borderId="10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06" fillId="0" borderId="10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08" fillId="0" borderId="10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10" fillId="0" borderId="10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12" fillId="0" borderId="10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14" fillId="0" borderId="10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16" fillId="0" borderId="10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18" fillId="0" borderId="10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20" fillId="0" borderId="10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22" fillId="0" borderId="109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5324" fillId="0" borderId="109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326" fillId="0" borderId="109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5328" fillId="0" borderId="10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30" fillId="0" borderId="10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32" fillId="0" borderId="10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34" fillId="0" borderId="10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36" fillId="0" borderId="10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38" fillId="0" borderId="10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40" fillId="0" borderId="10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42" fillId="0" borderId="10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44" fillId="0" borderId="10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46" fillId="0" borderId="10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48" fillId="0" borderId="10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50" fillId="0" borderId="10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52" fillId="0" borderId="10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54" fillId="0" borderId="10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56" fillId="0" borderId="10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58" fillId="0" borderId="10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60" fillId="0" borderId="10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62" fillId="0" borderId="109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5364" fillId="0" borderId="10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366" fillId="0" borderId="109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5368" fillId="0" borderId="109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70" fillId="0" borderId="10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72" fillId="0" borderId="10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74" fillId="0" borderId="10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76" fillId="0" borderId="10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78" fillId="0" borderId="10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80" fillId="0" borderId="10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82" fillId="0" borderId="10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84" fillId="0" borderId="10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86" fillId="0" borderId="10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88" fillId="0" borderId="10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90" fillId="0" borderId="10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92" fillId="0" borderId="10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94" fillId="0" borderId="10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96" fillId="0" borderId="10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98" fillId="0" borderId="10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00" fillId="0" borderId="10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02" fillId="324" borderId="10949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5404" fillId="325" borderId="10950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406" fillId="326" borderId="10951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5408" fillId="327" borderId="10952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410" fillId="0" borderId="10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12" fillId="0" borderId="10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14" fillId="0" borderId="10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16" fillId="0" borderId="10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18" fillId="0" borderId="10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20" fillId="0" borderId="10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22" fillId="0" borderId="10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24" fillId="0" borderId="10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26" fillId="0" borderId="10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28" fillId="0" borderId="10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30" fillId="0" borderId="10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32" fillId="0" borderId="10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34" fillId="0" borderId="10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36" fillId="0" borderId="10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38" fillId="0" borderId="10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40" fillId="0" borderId="10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42" fillId="0" borderId="10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44" fillId="0" borderId="10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46" fillId="0" borderId="10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48" fillId="0" borderId="10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50" fillId="0" borderId="10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52" fillId="0" borderId="10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54" fillId="0" borderId="10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56" fillId="0" borderId="10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58" fillId="0" borderId="10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60" fillId="0" borderId="10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62" fillId="0" borderId="10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64" fillId="0" borderId="10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66" fillId="0" borderId="10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68" fillId="0" borderId="10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70" fillId="0" borderId="10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72" fillId="0" borderId="10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74" fillId="0" borderId="10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76" fillId="0" borderId="10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78" fillId="0" borderId="10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80" fillId="0" borderId="10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82" fillId="0" borderId="10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84" fillId="0" borderId="10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86" fillId="0" borderId="10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88" fillId="0" borderId="10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90" fillId="0" borderId="10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92" fillId="0" borderId="10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94" fillId="0" borderId="10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96" fillId="0" borderId="10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98" fillId="0" borderId="10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00" fillId="0" borderId="10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02" fillId="0" borderId="10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04" fillId="0" borderId="11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06" fillId="0" borderId="11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08" fillId="0" borderId="11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10" fillId="0" borderId="11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12" fillId="0" borderId="11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14" fillId="0" borderId="11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16" fillId="0" borderId="11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18" fillId="0" borderId="11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20" fillId="0" borderId="11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1009" xfId="0"/>
    <xf numFmtId="0" fontId="15522" fillId="0" borderId="11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24" fillId="0" borderId="11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26" fillId="0" borderId="11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28" fillId="0" borderId="11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30" fillId="0" borderId="11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32" fillId="0" borderId="11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34" fillId="0" borderId="11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36" fillId="0" borderId="11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38" fillId="0" borderId="11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40" fillId="0" borderId="11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42" fillId="0" borderId="11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44" fillId="0" borderId="11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46" fillId="0" borderId="11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48" fillId="0" borderId="11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50" fillId="0" borderId="11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52" fillId="0" borderId="11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54" fillId="0" borderId="11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56" fillId="0" borderId="11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58" fillId="0" borderId="11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60" fillId="0" borderId="11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62" fillId="0" borderId="11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64" fillId="0" borderId="110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566" fillId="0" borderId="110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568" fillId="0" borderId="110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570" fillId="0" borderId="11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72" fillId="0" borderId="11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74" fillId="0" borderId="11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76" fillId="0" borderId="11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78" fillId="0" borderId="11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80" fillId="0" borderId="11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82" fillId="0" borderId="11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84" fillId="0" borderId="11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86" fillId="0" borderId="11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88" fillId="0" borderId="11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90" fillId="0" borderId="11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92" fillId="0" borderId="11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94" fillId="0" borderId="11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96" fillId="0" borderId="11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98" fillId="0" borderId="11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00" fillId="0" borderId="11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02" fillId="0" borderId="110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5604" fillId="0" borderId="11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06" fillId="0" borderId="11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08" fillId="0" borderId="11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10" fillId="0" borderId="11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12" fillId="0" borderId="11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14" fillId="0" borderId="11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16" fillId="0" borderId="11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18" fillId="0" borderId="11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20" fillId="0" borderId="11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22" fillId="0" borderId="11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24" fillId="0" borderId="11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26" fillId="0" borderId="11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28" fillId="0" borderId="11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30" fillId="0" borderId="11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32" fillId="0" borderId="11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34" fillId="0" borderId="11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36" fillId="0" borderId="11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38" fillId="0" borderId="11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40" fillId="0" borderId="11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42" fillId="0" borderId="110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5644" fillId="0" borderId="11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646" fillId="0" borderId="110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5648" fillId="0" borderId="110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50" fillId="0" borderId="11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52" fillId="0" borderId="11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54" fillId="0" borderId="11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56" fillId="0" borderId="11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58" fillId="0" borderId="11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60" fillId="0" borderId="11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62" fillId="0" borderId="11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64" fillId="0" borderId="11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66" fillId="0" borderId="11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68" fillId="0" borderId="11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70" fillId="0" borderId="11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72" fillId="0" borderId="11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74" fillId="0" borderId="11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76" fillId="0" borderId="11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78" fillId="0" borderId="11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80" fillId="0" borderId="11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82" fillId="0" borderId="110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5684" fillId="0" borderId="110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686" fillId="0" borderId="110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5688" fillId="0" borderId="110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90" fillId="0" borderId="11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92" fillId="0" borderId="11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94" fillId="0" borderId="11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96" fillId="0" borderId="11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98" fillId="0" borderId="11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00" fillId="0" borderId="11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02" fillId="0" borderId="11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04" fillId="0" borderId="11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06" fillId="0" borderId="11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08" fillId="0" borderId="11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10" fillId="0" borderId="11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12" fillId="0" borderId="11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14" fillId="0" borderId="11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16" fillId="0" borderId="11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18" fillId="0" borderId="11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20" fillId="0" borderId="11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22" fillId="0" borderId="111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5724" fillId="0" borderId="11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726" fillId="0" borderId="11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5728" fillId="0" borderId="11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30" fillId="0" borderId="11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32" fillId="0" borderId="11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34" fillId="0" borderId="11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36" fillId="0" borderId="11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38" fillId="0" borderId="11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40" fillId="0" borderId="11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42" fillId="0" borderId="11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44" fillId="0" borderId="11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46" fillId="0" borderId="11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48" fillId="0" borderId="11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50" fillId="0" borderId="11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52" fillId="0" borderId="11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54" fillId="0" borderId="11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56" fillId="0" borderId="11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58" fillId="0" borderId="11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60" fillId="0" borderId="11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62" fillId="0" borderId="111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5764" fillId="0" borderId="11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766" fillId="0" borderId="11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5768" fillId="0" borderId="11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70" fillId="0" borderId="11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72" fillId="0" borderId="11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74" fillId="0" borderId="11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76" fillId="0" borderId="11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78" fillId="0" borderId="11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80" fillId="0" borderId="11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82" fillId="0" borderId="11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84" fillId="0" borderId="11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86" fillId="0" borderId="11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88" fillId="0" borderId="11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90" fillId="0" borderId="11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92" fillId="0" borderId="11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94" fillId="0" borderId="11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96" fillId="0" borderId="11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98" fillId="0" borderId="11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00" fillId="0" borderId="11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02" fillId="0" borderId="111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5804" fillId="0" borderId="11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806" fillId="0" borderId="11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5808" fillId="0" borderId="11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10" fillId="0" borderId="11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12" fillId="0" borderId="11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14" fillId="0" borderId="11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16" fillId="0" borderId="11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18" fillId="0" borderId="11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20" fillId="0" borderId="11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22" fillId="0" borderId="11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24" fillId="0" borderId="11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26" fillId="0" borderId="11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28" fillId="0" borderId="11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30" fillId="0" borderId="11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32" fillId="0" borderId="11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34" fillId="0" borderId="11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36" fillId="0" borderId="11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38" fillId="0" borderId="11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40" fillId="0" borderId="11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42" fillId="0" borderId="111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5844" fillId="0" borderId="11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846" fillId="0" borderId="11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5848" fillId="0" borderId="11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50" fillId="0" borderId="11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52" fillId="0" borderId="11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54" fillId="0" borderId="11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56" fillId="0" borderId="11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58" fillId="0" borderId="11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60" fillId="0" borderId="11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62" fillId="0" borderId="11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64" fillId="0" borderId="11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66" fillId="0" borderId="11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68" fillId="0" borderId="11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70" fillId="0" borderId="11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72" fillId="0" borderId="11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74" fillId="0" borderId="11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76" fillId="0" borderId="11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78" fillId="0" borderId="11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80" fillId="0" borderId="11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82" fillId="0" borderId="111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5884" fillId="0" borderId="11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886" fillId="0" borderId="11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5888" fillId="0" borderId="11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90" fillId="0" borderId="11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92" fillId="0" borderId="11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94" fillId="0" borderId="11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96" fillId="0" borderId="11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98" fillId="0" borderId="11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00" fillId="0" borderId="11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02" fillId="0" borderId="11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04" fillId="0" borderId="11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06" fillId="0" borderId="11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08" fillId="0" borderId="11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10" fillId="0" borderId="11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12" fillId="0" borderId="11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14" fillId="0" borderId="11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16" fillId="0" borderId="11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18" fillId="0" borderId="11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20" fillId="0" borderId="11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22" fillId="0" borderId="112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5924" fillId="0" borderId="11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926" fillId="0" borderId="11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5928" fillId="0" borderId="11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30" fillId="0" borderId="11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32" fillId="0" borderId="11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34" fillId="0" borderId="11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36" fillId="0" borderId="11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38" fillId="0" borderId="11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40" fillId="0" borderId="11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42" fillId="0" borderId="11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44" fillId="0" borderId="11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46" fillId="0" borderId="11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48" fillId="0" borderId="11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50" fillId="0" borderId="11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52" fillId="0" borderId="11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54" fillId="0" borderId="11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56" fillId="0" borderId="11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58" fillId="0" borderId="11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60" fillId="0" borderId="11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62" fillId="0" borderId="112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5964" fillId="0" borderId="11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966" fillId="0" borderId="11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5968" fillId="0" borderId="112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70" fillId="0" borderId="11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72" fillId="0" borderId="11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74" fillId="0" borderId="11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76" fillId="0" borderId="11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78" fillId="0" borderId="11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80" fillId="0" borderId="11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82" fillId="0" borderId="11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84" fillId="0" borderId="11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86" fillId="0" borderId="11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88" fillId="0" borderId="11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90" fillId="0" borderId="11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92" fillId="0" borderId="11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94" fillId="0" borderId="11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96" fillId="0" borderId="11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98" fillId="0" borderId="11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00" fillId="0" borderId="11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02" fillId="0" borderId="112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6004" fillId="0" borderId="112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006" fillId="0" borderId="11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6008" fillId="0" borderId="112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10" fillId="0" borderId="11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12" fillId="0" borderId="11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14" fillId="0" borderId="11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16" fillId="0" borderId="11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18" fillId="0" borderId="11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20" fillId="0" borderId="11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22" fillId="0" borderId="11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24" fillId="0" borderId="11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26" fillId="0" borderId="11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28" fillId="0" borderId="11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30" fillId="0" borderId="11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32" fillId="0" borderId="11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34" fillId="0" borderId="11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36" fillId="0" borderId="11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38" fillId="0" borderId="11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40" fillId="0" borderId="11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42" fillId="0" borderId="112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6044" fillId="0" borderId="112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046" fillId="0" borderId="11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6048" fillId="0" borderId="11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50" fillId="0" borderId="11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52" fillId="0" borderId="11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54" fillId="0" borderId="11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56" fillId="0" borderId="11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58" fillId="0" borderId="11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60" fillId="0" borderId="11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62" fillId="0" borderId="11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64" fillId="0" borderId="11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66" fillId="0" borderId="11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68" fillId="0" borderId="11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70" fillId="0" borderId="11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72" fillId="0" borderId="11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74" fillId="0" borderId="11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76" fillId="0" borderId="11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78" fillId="0" borderId="11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80" fillId="0" borderId="11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82" fillId="0" borderId="112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6084" fillId="0" borderId="11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086" fillId="0" borderId="112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6088" fillId="0" borderId="112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90" fillId="0" borderId="11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92" fillId="0" borderId="11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94" fillId="0" borderId="11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96" fillId="0" borderId="11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98" fillId="0" borderId="11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00" fillId="0" borderId="11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02" fillId="0" borderId="11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04" fillId="0" borderId="11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06" fillId="0" borderId="11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08" fillId="0" borderId="11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10" fillId="0" borderId="11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12" fillId="0" borderId="11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14" fillId="0" borderId="11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16" fillId="0" borderId="11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18" fillId="0" borderId="11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20" fillId="0" borderId="11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22" fillId="0" borderId="113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6124" fillId="0" borderId="11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126" fillId="0" borderId="11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6128" fillId="0" borderId="11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30" fillId="0" borderId="11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32" fillId="0" borderId="11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34" fillId="0" borderId="11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36" fillId="0" borderId="11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38" fillId="0" borderId="11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40" fillId="0" borderId="11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42" fillId="0" borderId="11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44" fillId="0" borderId="11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46" fillId="0" borderId="11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48" fillId="0" borderId="11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50" fillId="0" borderId="11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52" fillId="0" borderId="11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54" fillId="0" borderId="11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56" fillId="0" borderId="11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58" fillId="0" borderId="11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60" fillId="0" borderId="11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62" fillId="0" borderId="113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6164" fillId="0" borderId="11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166" fillId="0" borderId="113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6168" fillId="0" borderId="11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70" fillId="0" borderId="11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72" fillId="0" borderId="11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74" fillId="0" borderId="11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76" fillId="0" borderId="11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78" fillId="0" borderId="11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80" fillId="0" borderId="11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82" fillId="0" borderId="11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84" fillId="0" borderId="11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86" fillId="0" borderId="11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88" fillId="0" borderId="11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90" fillId="0" borderId="11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92" fillId="0" borderId="11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94" fillId="0" borderId="11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96" fillId="0" borderId="11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98" fillId="0" borderId="11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00" fillId="0" borderId="11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02" fillId="328" borderId="11350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6204" fillId="329" borderId="11351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206" fillId="330" borderId="11352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6208" fillId="331" borderId="11353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210" fillId="0" borderId="11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12" fillId="0" borderId="11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14" fillId="0" borderId="11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16" fillId="0" borderId="11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18" fillId="0" borderId="11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20" fillId="0" borderId="11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22" fillId="0" borderId="11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24" fillId="0" borderId="11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26" fillId="0" borderId="11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28" fillId="0" borderId="11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30" fillId="0" borderId="11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32" fillId="0" borderId="11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34" fillId="0" borderId="11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36" fillId="0" borderId="11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38" fillId="0" borderId="11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40" fillId="0" borderId="11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42" fillId="0" borderId="11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44" fillId="0" borderId="11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46" fillId="0" borderId="11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48" fillId="0" borderId="11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50" fillId="0" borderId="11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52" fillId="0" borderId="11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54" fillId="0" borderId="11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56" fillId="0" borderId="11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58" fillId="0" borderId="11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60" fillId="0" borderId="11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62" fillId="0" borderId="11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64" fillId="0" borderId="11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66" fillId="0" borderId="11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68" fillId="0" borderId="11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70" fillId="0" borderId="11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72" fillId="0" borderId="11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74" fillId="0" borderId="11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76" fillId="0" borderId="11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78" fillId="0" borderId="11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80" fillId="0" borderId="11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82" fillId="0" borderId="11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84" fillId="0" borderId="11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86" fillId="0" borderId="11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88" fillId="0" borderId="11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90" fillId="0" borderId="11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92" fillId="0" borderId="11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94" fillId="0" borderId="11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96" fillId="0" borderId="11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98" fillId="0" borderId="11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00" fillId="0" borderId="11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02" fillId="0" borderId="11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04" fillId="0" borderId="11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06" fillId="0" borderId="11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08" fillId="0" borderId="11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10" fillId="0" borderId="11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12" fillId="0" borderId="11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14" fillId="0" borderId="11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16" fillId="0" borderId="11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18" fillId="0" borderId="11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20" fillId="0" borderId="11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1410" xfId="0"/>
    <xf numFmtId="0" fontId="16322" fillId="0" borderId="11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24" fillId="0" borderId="11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26" fillId="0" borderId="11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28" fillId="0" borderId="11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30" fillId="0" borderId="11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32" fillId="0" borderId="11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34" fillId="0" borderId="11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36" fillId="0" borderId="11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38" fillId="0" borderId="11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40" fillId="0" borderId="11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42" fillId="0" borderId="11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44" fillId="0" borderId="11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46" fillId="0" borderId="11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48" fillId="0" borderId="11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50" fillId="0" borderId="11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52" fillId="0" borderId="11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54" fillId="0" borderId="11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56" fillId="0" borderId="11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58" fillId="0" borderId="11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60" fillId="0" borderId="11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62" fillId="0" borderId="11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64" fillId="0" borderId="11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66" fillId="0" borderId="11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68" fillId="0" borderId="114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70" fillId="0" borderId="11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72" fillId="0" borderId="11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74" fillId="0" borderId="11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76" fillId="0" borderId="11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78" fillId="0" borderId="11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80" fillId="0" borderId="11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82" fillId="0" borderId="11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84" fillId="0" borderId="11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86" fillId="0" borderId="11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88" fillId="0" borderId="11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90" fillId="0" borderId="11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92" fillId="0" borderId="11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94" fillId="0" borderId="11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96" fillId="0" borderId="11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98" fillId="0" borderId="11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00" fillId="0" borderId="11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02" fillId="0" borderId="114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404" fillId="0" borderId="11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06" fillId="0" borderId="11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08" fillId="0" borderId="11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10" fillId="0" borderId="11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12" fillId="0" borderId="11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14" fillId="0" borderId="11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16" fillId="0" borderId="11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18" fillId="0" borderId="11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20" fillId="0" borderId="11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22" fillId="0" borderId="11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24" fillId="0" borderId="11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26" fillId="0" borderId="11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28" fillId="0" borderId="11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30" fillId="0" borderId="11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32" fillId="0" borderId="11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34" fillId="0" borderId="11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36" fillId="0" borderId="11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38" fillId="0" borderId="11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40" fillId="0" borderId="11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42" fillId="0" borderId="114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6444" fillId="0" borderId="114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446" fillId="0" borderId="11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6448" fillId="0" borderId="11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450" fillId="0" borderId="11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52" fillId="0" borderId="11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54" fillId="0" borderId="11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56" fillId="0" borderId="11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58" fillId="0" borderId="11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60" fillId="0" borderId="11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62" fillId="0" borderId="11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64" fillId="0" borderId="11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66" fillId="0" borderId="11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68" fillId="0" borderId="11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70" fillId="0" borderId="11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72" fillId="0" borderId="11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74" fillId="0" borderId="11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76" fillId="0" borderId="11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78" fillId="0" borderId="11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80" fillId="0" borderId="11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82" fillId="0" borderId="114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6484" fillId="0" borderId="114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486" fillId="0" borderId="11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6488" fillId="0" borderId="11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490" fillId="0" borderId="11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92" fillId="0" borderId="11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94" fillId="0" borderId="11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96" fillId="0" borderId="11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98" fillId="0" borderId="11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00" fillId="0" borderId="11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02" fillId="0" borderId="11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04" fillId="0" borderId="11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06" fillId="0" borderId="11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08" fillId="0" borderId="11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10" fillId="0" borderId="11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12" fillId="0" borderId="11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14" fillId="0" borderId="11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16" fillId="0" borderId="11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18" fillId="0" borderId="11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20" fillId="0" borderId="11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22" fillId="0" borderId="115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6524" fillId="0" borderId="115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526" fillId="0" borderId="115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6528" fillId="0" borderId="115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30" fillId="0" borderId="11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32" fillId="0" borderId="11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34" fillId="0" borderId="11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36" fillId="0" borderId="11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38" fillId="0" borderId="11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40" fillId="0" borderId="11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42" fillId="0" borderId="11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44" fillId="0" borderId="11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46" fillId="0" borderId="11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48" fillId="0" borderId="11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50" fillId="0" borderId="11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52" fillId="0" borderId="11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54" fillId="0" borderId="11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56" fillId="0" borderId="11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58" fillId="0" borderId="11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60" fillId="0" borderId="11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62" fillId="0" borderId="115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6564" fillId="0" borderId="115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566" fillId="0" borderId="11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6568" fillId="0" borderId="11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70" fillId="0" borderId="11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72" fillId="0" borderId="11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74" fillId="0" borderId="11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76" fillId="0" borderId="11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78" fillId="0" borderId="11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80" fillId="0" borderId="11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82" fillId="0" borderId="11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84" fillId="0" borderId="11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86" fillId="0" borderId="11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88" fillId="0" borderId="11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90" fillId="0" borderId="11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92" fillId="0" borderId="11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94" fillId="0" borderId="11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96" fillId="0" borderId="11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98" fillId="0" borderId="11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00" fillId="0" borderId="11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02" fillId="0" borderId="115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6604" fillId="0" borderId="11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606" fillId="0" borderId="11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6608" fillId="0" borderId="115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10" fillId="0" borderId="11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12" fillId="0" borderId="11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14" fillId="0" borderId="11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16" fillId="0" borderId="11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18" fillId="0" borderId="11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20" fillId="0" borderId="11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22" fillId="0" borderId="11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24" fillId="0" borderId="11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26" fillId="0" borderId="11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28" fillId="0" borderId="11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30" fillId="0" borderId="11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32" fillId="0" borderId="11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34" fillId="0" borderId="11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36" fillId="0" borderId="11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38" fillId="0" borderId="11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40" fillId="0" borderId="11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42" fillId="0" borderId="115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6644" fillId="0" borderId="11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646" fillId="0" borderId="11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6648" fillId="0" borderId="11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50" fillId="0" borderId="11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52" fillId="0" borderId="11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54" fillId="0" borderId="11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56" fillId="0" borderId="11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58" fillId="0" borderId="11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60" fillId="0" borderId="11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62" fillId="0" borderId="11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64" fillId="0" borderId="11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66" fillId="0" borderId="11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68" fillId="0" borderId="11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70" fillId="0" borderId="11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72" fillId="0" borderId="11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74" fillId="0" borderId="11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76" fillId="0" borderId="11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78" fillId="0" borderId="11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80" fillId="0" borderId="11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82" fillId="0" borderId="115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6684" fillId="0" borderId="115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686" fillId="0" borderId="11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6688" fillId="0" borderId="11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90" fillId="0" borderId="11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92" fillId="0" borderId="11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94" fillId="0" borderId="11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96" fillId="0" borderId="11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98" fillId="0" borderId="11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00" fillId="0" borderId="11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02" fillId="0" borderId="11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04" fillId="0" borderId="11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06" fillId="0" borderId="11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08" fillId="0" borderId="11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10" fillId="0" borderId="11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12" fillId="0" borderId="11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14" fillId="0" borderId="11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16" fillId="0" borderId="11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18" fillId="0" borderId="11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20" fillId="0" borderId="11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22" fillId="0" borderId="116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6724" fillId="0" borderId="11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726" fillId="0" borderId="11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6728" fillId="0" borderId="116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30" fillId="0" borderId="11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32" fillId="0" borderId="11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34" fillId="0" borderId="11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36" fillId="0" borderId="11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38" fillId="0" borderId="11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40" fillId="0" borderId="11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42" fillId="0" borderId="11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44" fillId="0" borderId="11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46" fillId="0" borderId="11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48" fillId="0" borderId="11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50" fillId="0" borderId="11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52" fillId="0" borderId="11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54" fillId="0" borderId="11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56" fillId="0" borderId="11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58" fillId="0" borderId="11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60" fillId="0" borderId="11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62" fillId="0" borderId="116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6764" fillId="0" borderId="116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766" fillId="0" borderId="11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6768" fillId="0" borderId="11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70" fillId="0" borderId="11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72" fillId="0" borderId="11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74" fillId="0" borderId="11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76" fillId="0" borderId="11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78" fillId="0" borderId="11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80" fillId="0" borderId="11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82" fillId="0" borderId="11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84" fillId="0" borderId="11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86" fillId="0" borderId="11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88" fillId="0" borderId="11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90" fillId="0" borderId="11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92" fillId="0" borderId="11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94" fillId="0" borderId="11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96" fillId="0" borderId="11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98" fillId="0" borderId="11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00" fillId="0" borderId="11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02" fillId="0" borderId="116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6804" fillId="0" borderId="116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806" fillId="0" borderId="116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6808" fillId="0" borderId="11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10" fillId="0" borderId="11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12" fillId="0" borderId="11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14" fillId="0" borderId="11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16" fillId="0" borderId="11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18" fillId="0" borderId="11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20" fillId="0" borderId="11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22" fillId="0" borderId="11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24" fillId="0" borderId="11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26" fillId="0" borderId="11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28" fillId="0" borderId="11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30" fillId="0" borderId="11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32" fillId="0" borderId="11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34" fillId="0" borderId="11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36" fillId="0" borderId="11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38" fillId="0" borderId="11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40" fillId="0" borderId="11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42" fillId="0" borderId="116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6844" fillId="0" borderId="116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846" fillId="0" borderId="116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6848" fillId="0" borderId="11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50" fillId="0" borderId="11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52" fillId="0" borderId="11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54" fillId="0" borderId="11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56" fillId="0" borderId="11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58" fillId="0" borderId="11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60" fillId="0" borderId="11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62" fillId="0" borderId="11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64" fillId="0" borderId="11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66" fillId="0" borderId="11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68" fillId="0" borderId="11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70" fillId="0" borderId="11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72" fillId="0" borderId="11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74" fillId="0" borderId="11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76" fillId="0" borderId="11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78" fillId="0" borderId="11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80" fillId="0" borderId="11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82" fillId="0" borderId="116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6884" fillId="0" borderId="116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886" fillId="0" borderId="116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6888" fillId="0" borderId="11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90" fillId="0" borderId="11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92" fillId="0" borderId="11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94" fillId="0" borderId="11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96" fillId="0" borderId="11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98" fillId="0" borderId="11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00" fillId="0" borderId="11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02" fillId="0" borderId="11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04" fillId="0" borderId="11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06" fillId="0" borderId="11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08" fillId="0" borderId="11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10" fillId="0" borderId="11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12" fillId="0" borderId="11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14" fillId="0" borderId="11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16" fillId="0" borderId="11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18" fillId="0" borderId="11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20" fillId="0" borderId="11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22" fillId="0" borderId="117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6924" fillId="0" borderId="11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926" fillId="0" borderId="11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6928" fillId="0" borderId="11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930" fillId="0" borderId="11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32" fillId="0" borderId="11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34" fillId="0" borderId="11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36" fillId="0" borderId="11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38" fillId="0" borderId="11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40" fillId="0" borderId="11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42" fillId="0" borderId="11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44" fillId="0" borderId="11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46" fillId="0" borderId="11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48" fillId="0" borderId="11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50" fillId="0" borderId="11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52" fillId="0" borderId="11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54" fillId="0" borderId="11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56" fillId="0" borderId="11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58" fillId="0" borderId="11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60" fillId="0" borderId="11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62" fillId="0" borderId="117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6964" fillId="0" borderId="11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966" fillId="0" borderId="11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6968" fillId="0" borderId="117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970" fillId="0" borderId="11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72" fillId="0" borderId="11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74" fillId="0" borderId="11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76" fillId="0" borderId="11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78" fillId="0" borderId="11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80" fillId="0" borderId="11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82" fillId="0" borderId="11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84" fillId="0" borderId="11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86" fillId="0" borderId="11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88" fillId="0" borderId="11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90" fillId="0" borderId="11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92" fillId="0" borderId="11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94" fillId="0" borderId="11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96" fillId="0" borderId="11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98" fillId="0" borderId="11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00" fillId="0" borderId="11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02" fillId="332" borderId="11751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7004" fillId="333" borderId="11752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006" fillId="334" borderId="11753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7008" fillId="335" borderId="11754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010" fillId="0" borderId="11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12" fillId="0" borderId="11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14" fillId="0" borderId="11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16" fillId="0" borderId="11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18" fillId="0" borderId="11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20" fillId="0" borderId="11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22" fillId="0" borderId="11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24" fillId="0" borderId="11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26" fillId="0" borderId="11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28" fillId="0" borderId="11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30" fillId="0" borderId="11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32" fillId="0" borderId="11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34" fillId="0" borderId="11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36" fillId="0" borderId="11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38" fillId="0" borderId="11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40" fillId="0" borderId="11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42" fillId="0" borderId="11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44" fillId="0" borderId="11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46" fillId="0" borderId="11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48" fillId="0" borderId="11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50" fillId="0" borderId="11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52" fillId="0" borderId="11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54" fillId="0" borderId="11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56" fillId="0" borderId="11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58" fillId="0" borderId="11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60" fillId="0" borderId="11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62" fillId="0" borderId="11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64" fillId="0" borderId="11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66" fillId="0" borderId="11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68" fillId="0" borderId="11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70" fillId="0" borderId="11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72" fillId="0" borderId="11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74" fillId="0" borderId="11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76" fillId="0" borderId="11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78" fillId="0" borderId="11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80" fillId="0" borderId="11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82" fillId="0" borderId="11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84" fillId="0" borderId="11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86" fillId="0" borderId="11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88" fillId="0" borderId="11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90" fillId="0" borderId="11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92" fillId="0" borderId="11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94" fillId="0" borderId="11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96" fillId="0" borderId="11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98" fillId="0" borderId="11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00" fillId="0" borderId="11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02" fillId="0" borderId="11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04" fillId="0" borderId="11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06" fillId="0" borderId="11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08" fillId="0" borderId="11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10" fillId="0" borderId="11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12" fillId="0" borderId="11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14" fillId="0" borderId="11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16" fillId="0" borderId="11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18" fillId="0" borderId="11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20" fillId="0" borderId="11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1811" xfId="0"/>
    <xf numFmtId="0" fontId="17122" fillId="0" borderId="11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24" fillId="0" borderId="11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26" fillId="0" borderId="11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28" fillId="0" borderId="11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30" fillId="0" borderId="11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32" fillId="0" borderId="11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34" fillId="0" borderId="11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36" fillId="0" borderId="11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38" fillId="0" borderId="11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40" fillId="0" borderId="11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42" fillId="0" borderId="11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44" fillId="0" borderId="11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46" fillId="0" borderId="11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48" fillId="0" borderId="11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50" fillId="0" borderId="11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52" fillId="0" borderId="11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54" fillId="0" borderId="11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56" fillId="0" borderId="11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58" fillId="0" borderId="11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60" fillId="0" borderId="11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62" fillId="0" borderId="11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64" fillId="0" borderId="118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166" fillId="0" borderId="11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168" fillId="0" borderId="11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170" fillId="0" borderId="11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72" fillId="0" borderId="11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74" fillId="0" borderId="11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76" fillId="0" borderId="11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78" fillId="0" borderId="11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80" fillId="0" borderId="11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82" fillId="0" borderId="11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84" fillId="0" borderId="11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86" fillId="0" borderId="11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88" fillId="0" borderId="11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90" fillId="0" borderId="11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92" fillId="0" borderId="11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94" fillId="0" borderId="11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96" fillId="0" borderId="11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98" fillId="0" borderId="11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00" fillId="0" borderId="11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02" fillId="0" borderId="118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204" fillId="0" borderId="11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06" fillId="0" borderId="11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08" fillId="0" borderId="11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10" fillId="0" borderId="11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12" fillId="0" borderId="11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14" fillId="0" borderId="11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16" fillId="0" borderId="11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18" fillId="0" borderId="11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20" fillId="0" borderId="11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22" fillId="0" borderId="11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24" fillId="0" borderId="11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26" fillId="0" borderId="11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28" fillId="0" borderId="11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30" fillId="0" borderId="11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32" fillId="0" borderId="11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34" fillId="0" borderId="11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36" fillId="0" borderId="11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38" fillId="0" borderId="11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40" fillId="0" borderId="11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42" fillId="0" borderId="118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7244" fillId="0" borderId="11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246" fillId="0" borderId="118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7248" fillId="0" borderId="118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50" fillId="0" borderId="11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52" fillId="0" borderId="11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54" fillId="0" borderId="11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56" fillId="0" borderId="11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58" fillId="0" borderId="11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60" fillId="0" borderId="11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62" fillId="0" borderId="11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64" fillId="0" borderId="11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66" fillId="0" borderId="11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68" fillId="0" borderId="11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70" fillId="0" borderId="11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72" fillId="0" borderId="11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74" fillId="0" borderId="11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76" fillId="0" borderId="11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78" fillId="0" borderId="11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80" fillId="0" borderId="11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82" fillId="0" borderId="118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7284" fillId="0" borderId="118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286" fillId="0" borderId="11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7288" fillId="0" borderId="118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90" fillId="0" borderId="11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92" fillId="0" borderId="11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94" fillId="0" borderId="11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96" fillId="0" borderId="11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98" fillId="0" borderId="11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00" fillId="0" borderId="11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02" fillId="0" borderId="11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04" fillId="0" borderId="11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06" fillId="0" borderId="11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08" fillId="0" borderId="11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10" fillId="0" borderId="11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12" fillId="0" borderId="11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14" fillId="0" borderId="11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16" fillId="0" borderId="11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18" fillId="0" borderId="11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20" fillId="0" borderId="11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22" fillId="0" borderId="119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7324" fillId="0" borderId="11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326" fillId="0" borderId="119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7328" fillId="0" borderId="11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30" fillId="0" borderId="11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32" fillId="0" borderId="11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34" fillId="0" borderId="11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36" fillId="0" borderId="11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38" fillId="0" borderId="11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40" fillId="0" borderId="11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42" fillId="0" borderId="11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44" fillId="0" borderId="11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46" fillId="0" borderId="11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48" fillId="0" borderId="11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50" fillId="0" borderId="11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52" fillId="0" borderId="11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54" fillId="0" borderId="11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56" fillId="0" borderId="11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58" fillId="0" borderId="11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60" fillId="0" borderId="11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62" fillId="0" borderId="119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7364" fillId="0" borderId="11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366" fillId="0" borderId="119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7368" fillId="0" borderId="119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70" fillId="0" borderId="11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72" fillId="0" borderId="11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74" fillId="0" borderId="11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76" fillId="0" borderId="11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78" fillId="0" borderId="11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80" fillId="0" borderId="11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82" fillId="0" borderId="11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84" fillId="0" borderId="11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86" fillId="0" borderId="11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88" fillId="0" borderId="11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90" fillId="0" borderId="11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92" fillId="0" borderId="11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94" fillId="0" borderId="11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96" fillId="0" borderId="11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98" fillId="0" borderId="11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00" fillId="0" borderId="11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02" fillId="0" borderId="119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7404" fillId="0" borderId="119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406" fillId="0" borderId="11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7408" fillId="0" borderId="119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10" fillId="0" borderId="11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12" fillId="0" borderId="11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14" fillId="0" borderId="11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16" fillId="0" borderId="11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18" fillId="0" borderId="11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20" fillId="0" borderId="11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22" fillId="0" borderId="11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24" fillId="0" borderId="11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26" fillId="0" borderId="11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28" fillId="0" borderId="11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30" fillId="0" borderId="11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32" fillId="0" borderId="11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34" fillId="0" borderId="11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36" fillId="0" borderId="11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38" fillId="0" borderId="11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40" fillId="0" borderId="11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42" fillId="0" borderId="119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7444" fillId="0" borderId="119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446" fillId="0" borderId="119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7448" fillId="0" borderId="119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50" fillId="0" borderId="11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52" fillId="0" borderId="11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54" fillId="0" borderId="11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56" fillId="0" borderId="11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58" fillId="0" borderId="11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60" fillId="0" borderId="11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62" fillId="0" borderId="11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64" fillId="0" borderId="11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66" fillId="0" borderId="11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68" fillId="0" borderId="11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70" fillId="0" borderId="11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72" fillId="0" borderId="11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74" fillId="0" borderId="11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76" fillId="0" borderId="11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78" fillId="0" borderId="11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80" fillId="0" borderId="11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82" fillId="0" borderId="119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7484" fillId="0" borderId="11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486" fillId="0" borderId="119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7488" fillId="0" borderId="119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90" fillId="0" borderId="11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92" fillId="0" borderId="11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94" fillId="0" borderId="11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96" fillId="0" borderId="11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98" fillId="0" borderId="12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00" fillId="0" borderId="12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02" fillId="0" borderId="12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04" fillId="0" borderId="12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06" fillId="0" borderId="12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08" fillId="0" borderId="12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10" fillId="0" borderId="12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12" fillId="0" borderId="12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14" fillId="0" borderId="12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16" fillId="0" borderId="12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18" fillId="0" borderId="12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20" fillId="0" borderId="12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22" fillId="0" borderId="120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7524" fillId="0" borderId="120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526" fillId="0" borderId="12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7528" fillId="0" borderId="120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30" fillId="0" borderId="12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32" fillId="0" borderId="12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34" fillId="0" borderId="12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36" fillId="0" borderId="12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38" fillId="0" borderId="12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40" fillId="0" borderId="12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42" fillId="0" borderId="12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44" fillId="0" borderId="12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46" fillId="0" borderId="12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48" fillId="0" borderId="12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50" fillId="0" borderId="12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52" fillId="0" borderId="12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54" fillId="0" borderId="12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56" fillId="0" borderId="12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58" fillId="0" borderId="12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60" fillId="0" borderId="12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62" fillId="0" borderId="120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7564" fillId="0" borderId="120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566" fillId="0" borderId="120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7568" fillId="0" borderId="120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70" fillId="0" borderId="12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72" fillId="0" borderId="12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74" fillId="0" borderId="12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76" fillId="0" borderId="12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78" fillId="0" borderId="12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80" fillId="0" borderId="12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82" fillId="0" borderId="12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84" fillId="0" borderId="12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86" fillId="0" borderId="12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88" fillId="0" borderId="12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90" fillId="0" borderId="12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92" fillId="0" borderId="12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94" fillId="0" borderId="12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96" fillId="0" borderId="12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98" fillId="0" borderId="12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00" fillId="0" borderId="12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02" fillId="0" borderId="120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7604" fillId="0" borderId="120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606" fillId="0" borderId="120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7608" fillId="0" borderId="120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10" fillId="0" borderId="12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12" fillId="0" borderId="12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14" fillId="0" borderId="12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16" fillId="0" borderId="12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18" fillId="0" borderId="12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20" fillId="0" borderId="12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22" fillId="0" borderId="12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24" fillId="0" borderId="12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26" fillId="0" borderId="12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28" fillId="0" borderId="12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30" fillId="0" borderId="12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32" fillId="0" borderId="12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34" fillId="0" borderId="12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36" fillId="0" borderId="12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38" fillId="0" borderId="12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40" fillId="0" borderId="12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42" fillId="0" borderId="120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7644" fillId="0" borderId="120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646" fillId="0" borderId="120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7648" fillId="0" borderId="120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50" fillId="0" borderId="12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52" fillId="0" borderId="12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54" fillId="0" borderId="12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56" fillId="0" borderId="12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58" fillId="0" borderId="12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60" fillId="0" borderId="12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62" fillId="0" borderId="12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64" fillId="0" borderId="12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66" fillId="0" borderId="12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68" fillId="0" borderId="12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70" fillId="0" borderId="12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72" fillId="0" borderId="12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74" fillId="0" borderId="12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76" fillId="0" borderId="12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78" fillId="0" borderId="12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80" fillId="0" borderId="12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82" fillId="0" borderId="120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7684" fillId="0" borderId="120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686" fillId="0" borderId="120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7688" fillId="0" borderId="120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90" fillId="0" borderId="12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92" fillId="0" borderId="12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94" fillId="0" borderId="12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96" fillId="0" borderId="12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98" fillId="0" borderId="12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00" fillId="0" borderId="12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02" fillId="0" borderId="12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04" fillId="0" borderId="12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06" fillId="0" borderId="12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08" fillId="0" borderId="12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10" fillId="0" borderId="12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12" fillId="0" borderId="12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14" fillId="0" borderId="12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16" fillId="0" borderId="12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18" fillId="0" borderId="12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20" fillId="0" borderId="12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22" fillId="0" borderId="121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7724" fillId="0" borderId="12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726" fillId="0" borderId="12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7728" fillId="0" borderId="12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730" fillId="0" borderId="12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32" fillId="0" borderId="12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34" fillId="0" borderId="12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36" fillId="0" borderId="12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38" fillId="0" borderId="12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40" fillId="0" borderId="12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42" fillId="0" borderId="12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44" fillId="0" borderId="12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46" fillId="0" borderId="12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48" fillId="0" borderId="12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50" fillId="0" borderId="12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52" fillId="0" borderId="12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54" fillId="0" borderId="12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56" fillId="0" borderId="12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58" fillId="0" borderId="12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60" fillId="0" borderId="12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62" fillId="0" borderId="121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7764" fillId="0" borderId="12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766" fillId="0" borderId="12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7768" fillId="0" borderId="12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770" fillId="0" borderId="12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72" fillId="0" borderId="12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74" fillId="0" borderId="12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76" fillId="0" borderId="12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78" fillId="0" borderId="12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80" fillId="0" borderId="12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82" fillId="0" borderId="12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84" fillId="0" borderId="12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86" fillId="0" borderId="12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88" fillId="0" borderId="12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90" fillId="0" borderId="12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92" fillId="0" borderId="12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94" fillId="0" borderId="12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96" fillId="0" borderId="12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98" fillId="0" borderId="12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00" fillId="0" borderId="12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02" fillId="336" borderId="12152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7804" fillId="337" borderId="12153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806" fillId="338" borderId="12154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7808" fillId="339" borderId="12155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810" fillId="0" borderId="12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12" fillId="0" borderId="12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14" fillId="0" borderId="12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16" fillId="0" borderId="12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18" fillId="0" borderId="12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20" fillId="0" borderId="12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22" fillId="0" borderId="12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24" fillId="0" borderId="12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26" fillId="0" borderId="12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28" fillId="0" borderId="12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30" fillId="0" borderId="12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32" fillId="0" borderId="12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34" fillId="0" borderId="12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36" fillId="0" borderId="12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38" fillId="0" borderId="12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40" fillId="0" borderId="12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42" fillId="0" borderId="12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44" fillId="0" borderId="12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46" fillId="0" borderId="12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48" fillId="0" borderId="12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50" fillId="0" borderId="12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52" fillId="0" borderId="12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54" fillId="0" borderId="12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56" fillId="0" borderId="12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58" fillId="0" borderId="12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60" fillId="0" borderId="12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62" fillId="0" borderId="12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64" fillId="0" borderId="12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66" fillId="0" borderId="12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68" fillId="0" borderId="12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70" fillId="0" borderId="12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72" fillId="0" borderId="12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74" fillId="0" borderId="12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76" fillId="0" borderId="12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78" fillId="0" borderId="12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80" fillId="0" borderId="12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82" fillId="0" borderId="12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84" fillId="0" borderId="12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86" fillId="0" borderId="12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88" fillId="0" borderId="12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90" fillId="0" borderId="12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92" fillId="0" borderId="12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94" fillId="0" borderId="12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96" fillId="0" borderId="12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98" fillId="0" borderId="12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00" fillId="0" borderId="12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02" fillId="0" borderId="12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04" fillId="0" borderId="12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06" fillId="0" borderId="12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08" fillId="0" borderId="12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10" fillId="0" borderId="12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12" fillId="0" borderId="12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14" fillId="0" borderId="12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16" fillId="0" borderId="12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18" fillId="0" borderId="12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20" fillId="0" borderId="12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2212" xfId="0"/>
    <xf numFmtId="0" fontId="17922" fillId="0" borderId="12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24" fillId="0" borderId="12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26" fillId="0" borderId="12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28" fillId="0" borderId="12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30" fillId="0" borderId="12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32" fillId="0" borderId="12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34" fillId="0" borderId="12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36" fillId="0" borderId="12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38" fillId="0" borderId="12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40" fillId="0" borderId="12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42" fillId="0" borderId="12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44" fillId="0" borderId="12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46" fillId="0" borderId="12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48" fillId="0" borderId="12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50" fillId="0" borderId="12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52" fillId="0" borderId="12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54" fillId="0" borderId="12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56" fillId="0" borderId="12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58" fillId="0" borderId="12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60" fillId="0" borderId="12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62" fillId="0" borderId="12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64" fillId="0" borderId="12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66" fillId="0" borderId="12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68" fillId="0" borderId="12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70" fillId="0" borderId="12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72" fillId="0" borderId="12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74" fillId="0" borderId="12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76" fillId="0" borderId="12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78" fillId="0" borderId="12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80" fillId="0" borderId="12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82" fillId="0" borderId="12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84" fillId="0" borderId="12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86" fillId="0" borderId="12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88" fillId="0" borderId="12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90" fillId="0" borderId="12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92" fillId="0" borderId="12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94" fillId="0" borderId="12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96" fillId="0" borderId="12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98" fillId="0" borderId="12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00" fillId="0" borderId="12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02" fillId="0" borderId="122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004" fillId="0" borderId="12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06" fillId="0" borderId="12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08" fillId="0" borderId="12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10" fillId="0" borderId="12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12" fillId="0" borderId="12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14" fillId="0" borderId="12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16" fillId="0" borderId="12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18" fillId="0" borderId="12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20" fillId="0" borderId="12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22" fillId="0" borderId="12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24" fillId="0" borderId="12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26" fillId="0" borderId="12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28" fillId="0" borderId="12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30" fillId="0" borderId="12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32" fillId="0" borderId="12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34" fillId="0" borderId="12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36" fillId="0" borderId="12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38" fillId="0" borderId="12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40" fillId="0" borderId="12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42" fillId="0" borderId="122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8044" fillId="0" borderId="122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046" fillId="0" borderId="122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8048" fillId="0" borderId="12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50" fillId="0" borderId="12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52" fillId="0" borderId="12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54" fillId="0" borderId="12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56" fillId="0" borderId="12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58" fillId="0" borderId="12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60" fillId="0" borderId="12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62" fillId="0" borderId="12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64" fillId="0" borderId="12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66" fillId="0" borderId="12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68" fillId="0" borderId="12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70" fillId="0" borderId="12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72" fillId="0" borderId="12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74" fillId="0" borderId="12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76" fillId="0" borderId="12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78" fillId="0" borderId="12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80" fillId="0" borderId="12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82" fillId="0" borderId="122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8084" fillId="0" borderId="12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086" fillId="0" borderId="12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8088" fillId="0" borderId="122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90" fillId="0" borderId="12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92" fillId="0" borderId="12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94" fillId="0" borderId="12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96" fillId="0" borderId="12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98" fillId="0" borderId="12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00" fillId="0" borderId="12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02" fillId="0" borderId="12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04" fillId="0" borderId="12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06" fillId="0" borderId="12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08" fillId="0" borderId="12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10" fillId="0" borderId="12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12" fillId="0" borderId="12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14" fillId="0" borderId="12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16" fillId="0" borderId="12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18" fillId="0" borderId="12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20" fillId="0" borderId="12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22" fillId="0" borderId="123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8124" fillId="0" borderId="12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126" fillId="0" borderId="12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8128" fillId="0" borderId="12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130" fillId="0" borderId="12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32" fillId="0" borderId="12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34" fillId="0" borderId="12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36" fillId="0" borderId="12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38" fillId="0" borderId="12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40" fillId="0" borderId="12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42" fillId="0" borderId="12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44" fillId="0" borderId="12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46" fillId="0" borderId="12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48" fillId="0" borderId="12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50" fillId="0" borderId="12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52" fillId="0" borderId="12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54" fillId="0" borderId="12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56" fillId="0" borderId="12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58" fillId="0" borderId="12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60" fillId="0" borderId="12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62" fillId="0" borderId="123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8164" fillId="0" borderId="123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166" fillId="0" borderId="123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8168" fillId="0" borderId="12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170" fillId="0" borderId="12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72" fillId="0" borderId="12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74" fillId="0" borderId="12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76" fillId="0" borderId="12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78" fillId="0" borderId="12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80" fillId="0" borderId="12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82" fillId="0" borderId="12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84" fillId="0" borderId="12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86" fillId="0" borderId="12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88" fillId="0" borderId="12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90" fillId="0" borderId="12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92" fillId="0" borderId="12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94" fillId="0" borderId="12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96" fillId="0" borderId="12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98" fillId="0" borderId="12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00" fillId="0" borderId="12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02" fillId="0" borderId="123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8204" fillId="0" borderId="12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206" fillId="0" borderId="12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8208" fillId="0" borderId="123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10" fillId="0" borderId="12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12" fillId="0" borderId="12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14" fillId="0" borderId="12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16" fillId="0" borderId="12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18" fillId="0" borderId="12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20" fillId="0" borderId="12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22" fillId="0" borderId="12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24" fillId="0" borderId="12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26" fillId="0" borderId="12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28" fillId="0" borderId="12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30" fillId="0" borderId="12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32" fillId="0" borderId="12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34" fillId="0" borderId="12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36" fillId="0" borderId="12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38" fillId="0" borderId="12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40" fillId="0" borderId="12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42" fillId="0" borderId="123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8244" fillId="0" borderId="12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246" fillId="0" borderId="12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8248" fillId="0" borderId="123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50" fillId="0" borderId="12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52" fillId="0" borderId="12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54" fillId="0" borderId="12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56" fillId="0" borderId="12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58" fillId="0" borderId="12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60" fillId="0" borderId="12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62" fillId="0" borderId="12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64" fillId="0" borderId="12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66" fillId="0" borderId="12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68" fillId="0" borderId="12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70" fillId="0" borderId="12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72" fillId="0" borderId="12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74" fillId="0" borderId="12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76" fillId="0" borderId="12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78" fillId="0" borderId="12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80" fillId="0" borderId="12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82" fillId="0" borderId="123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8284" fillId="0" borderId="12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286" fillId="0" borderId="12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8288" fillId="0" borderId="12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90" fillId="0" borderId="12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92" fillId="0" borderId="12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94" fillId="0" borderId="12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96" fillId="0" borderId="12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98" fillId="0" borderId="12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00" fillId="0" borderId="12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02" fillId="0" borderId="12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04" fillId="0" borderId="12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06" fillId="0" borderId="12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08" fillId="0" borderId="12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10" fillId="0" borderId="12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12" fillId="0" borderId="12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14" fillId="0" borderId="12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16" fillId="0" borderId="12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18" fillId="0" borderId="12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20" fillId="0" borderId="12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22" fillId="0" borderId="124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8324" fillId="0" borderId="12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326" fillId="0" borderId="12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8328" fillId="0" borderId="124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30" fillId="0" borderId="12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32" fillId="0" borderId="12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34" fillId="0" borderId="12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36" fillId="0" borderId="12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38" fillId="0" borderId="12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40" fillId="0" borderId="12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42" fillId="0" borderId="12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44" fillId="0" borderId="12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46" fillId="0" borderId="12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48" fillId="0" borderId="12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50" fillId="0" borderId="12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52" fillId="0" borderId="12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54" fillId="0" borderId="12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56" fillId="0" borderId="12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58" fillId="0" borderId="12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60" fillId="0" borderId="12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62" fillId="0" borderId="124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8364" fillId="0" borderId="124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366" fillId="0" borderId="12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8368" fillId="0" borderId="12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70" fillId="0" borderId="12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72" fillId="0" borderId="12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74" fillId="0" borderId="12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76" fillId="0" borderId="12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78" fillId="0" borderId="12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80" fillId="0" borderId="12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82" fillId="0" borderId="12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84" fillId="0" borderId="12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86" fillId="0" borderId="12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88" fillId="0" borderId="12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90" fillId="0" borderId="12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92" fillId="0" borderId="12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94" fillId="0" borderId="12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96" fillId="0" borderId="12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98" fillId="0" borderId="12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00" fillId="0" borderId="12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02" fillId="0" borderId="124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8404" fillId="0" borderId="12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406" fillId="0" borderId="12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8408" fillId="0" borderId="12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10" fillId="0" borderId="12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12" fillId="0" borderId="12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14" fillId="0" borderId="12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16" fillId="0" borderId="12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18" fillId="0" borderId="12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20" fillId="0" borderId="12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22" fillId="0" borderId="12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24" fillId="0" borderId="12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26" fillId="0" borderId="12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28" fillId="0" borderId="12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30" fillId="0" borderId="12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32" fillId="0" borderId="12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34" fillId="0" borderId="12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36" fillId="0" borderId="12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38" fillId="0" borderId="12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40" fillId="0" borderId="12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42" fillId="0" borderId="124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8444" fillId="0" borderId="12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446" fillId="0" borderId="124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8448" fillId="0" borderId="124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50" fillId="0" borderId="12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52" fillId="0" borderId="12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54" fillId="0" borderId="12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56" fillId="0" borderId="12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58" fillId="0" borderId="12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60" fillId="0" borderId="12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62" fillId="0" borderId="12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64" fillId="0" borderId="12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66" fillId="0" borderId="12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68" fillId="0" borderId="12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70" fillId="0" borderId="12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72" fillId="0" borderId="12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74" fillId="0" borderId="12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76" fillId="0" borderId="12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78" fillId="0" borderId="12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80" fillId="0" borderId="12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82" fillId="0" borderId="124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8484" fillId="0" borderId="12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486" fillId="0" borderId="12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8488" fillId="0" borderId="12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90" fillId="0" borderId="12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92" fillId="0" borderId="12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94" fillId="0" borderId="12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96" fillId="0" borderId="12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98" fillId="0" borderId="12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00" fillId="0" borderId="12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02" fillId="0" borderId="12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04" fillId="0" borderId="12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06" fillId="0" borderId="12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08" fillId="0" borderId="12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10" fillId="0" borderId="12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12" fillId="0" borderId="12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14" fillId="0" borderId="12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16" fillId="0" borderId="12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18" fillId="0" borderId="12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20" fillId="0" borderId="12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22" fillId="0" borderId="125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8524" fillId="0" borderId="125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526" fillId="0" borderId="12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8528" fillId="0" borderId="12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530" fillId="0" borderId="12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32" fillId="0" borderId="12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34" fillId="0" borderId="12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36" fillId="0" borderId="12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38" fillId="0" borderId="12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40" fillId="0" borderId="12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42" fillId="0" borderId="12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44" fillId="0" borderId="12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46" fillId="0" borderId="12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48" fillId="0" borderId="12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50" fillId="0" borderId="12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52" fillId="0" borderId="12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54" fillId="0" borderId="12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56" fillId="0" borderId="12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58" fillId="0" borderId="12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60" fillId="0" borderId="12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62" fillId="0" borderId="125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8564" fillId="0" borderId="12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566" fillId="0" borderId="12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8568" fillId="0" borderId="12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570" fillId="0" borderId="12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72" fillId="0" borderId="12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74" fillId="0" borderId="12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76" fillId="0" borderId="12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78" fillId="0" borderId="12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80" fillId="0" borderId="12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82" fillId="0" borderId="12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84" fillId="0" borderId="12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86" fillId="0" borderId="12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88" fillId="0" borderId="12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90" fillId="0" borderId="12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92" fillId="0" borderId="12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94" fillId="0" borderId="12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96" fillId="0" borderId="12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98" fillId="0" borderId="12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00" fillId="0" borderId="12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02" fillId="340" borderId="12553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8604" fillId="341" borderId="12554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606" fillId="342" borderId="12555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8608" fillId="343" borderId="12556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610" fillId="0" borderId="12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12" fillId="0" borderId="12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14" fillId="0" borderId="12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16" fillId="0" borderId="12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18" fillId="0" borderId="12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20" fillId="0" borderId="12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22" fillId="0" borderId="12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24" fillId="0" borderId="12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26" fillId="0" borderId="12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28" fillId="0" borderId="12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30" fillId="0" borderId="12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32" fillId="0" borderId="12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34" fillId="0" borderId="12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36" fillId="0" borderId="12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38" fillId="0" borderId="12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40" fillId="0" borderId="12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42" fillId="0" borderId="12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44" fillId="0" borderId="12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46" fillId="0" borderId="12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48" fillId="0" borderId="12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50" fillId="0" borderId="12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52" fillId="0" borderId="12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54" fillId="0" borderId="12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56" fillId="0" borderId="12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58" fillId="0" borderId="12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60" fillId="0" borderId="12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62" fillId="0" borderId="12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64" fillId="0" borderId="12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66" fillId="0" borderId="12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68" fillId="0" borderId="12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70" fillId="0" borderId="12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72" fillId="0" borderId="12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74" fillId="0" borderId="12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76" fillId="0" borderId="12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78" fillId="0" borderId="12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80" fillId="0" borderId="12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82" fillId="0" borderId="12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84" fillId="0" borderId="12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86" fillId="0" borderId="12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88" fillId="0" borderId="12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90" fillId="0" borderId="12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92" fillId="0" borderId="12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94" fillId="0" borderId="12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96" fillId="0" borderId="12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98" fillId="0" borderId="12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00" fillId="0" borderId="12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02" fillId="0" borderId="12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04" fillId="0" borderId="12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06" fillId="0" borderId="12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08" fillId="0" borderId="12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10" fillId="0" borderId="12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12" fillId="0" borderId="12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14" fillId="0" borderId="12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16" fillId="0" borderId="12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18" fillId="0" borderId="12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20" fillId="0" borderId="12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2613" xfId="0"/>
    <xf numFmtId="0" fontId="18722" fillId="0" borderId="12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24" fillId="0" borderId="12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26" fillId="0" borderId="12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28" fillId="0" borderId="12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30" fillId="0" borderId="12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32" fillId="0" borderId="12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34" fillId="0" borderId="12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36" fillId="0" borderId="12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38" fillId="0" borderId="12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40" fillId="0" borderId="12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42" fillId="0" borderId="12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44" fillId="0" borderId="12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46" fillId="0" borderId="12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48" fillId="0" borderId="12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50" fillId="0" borderId="12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52" fillId="0" borderId="12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54" fillId="0" borderId="12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56" fillId="0" borderId="12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58" fillId="0" borderId="12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60" fillId="0" borderId="12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62" fillId="0" borderId="12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64" fillId="0" borderId="126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766" fillId="0" borderId="12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768" fillId="0" borderId="12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770" fillId="0" borderId="12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72" fillId="0" borderId="12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74" fillId="0" borderId="12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76" fillId="0" borderId="12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78" fillId="0" borderId="12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80" fillId="0" borderId="12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82" fillId="0" borderId="12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84" fillId="0" borderId="12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86" fillId="0" borderId="12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88" fillId="0" borderId="12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90" fillId="0" borderId="12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92" fillId="0" borderId="12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94" fillId="0" borderId="12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96" fillId="0" borderId="12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98" fillId="0" borderId="12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00" fillId="0" borderId="12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02" fillId="0" borderId="126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804" fillId="0" borderId="12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06" fillId="0" borderId="12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08" fillId="0" borderId="12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10" fillId="0" borderId="12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12" fillId="0" borderId="12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14" fillId="0" borderId="12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16" fillId="0" borderId="12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18" fillId="0" borderId="12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20" fillId="0" borderId="12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22" fillId="0" borderId="12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24" fillId="0" borderId="12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26" fillId="0" borderId="12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28" fillId="0" borderId="12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30" fillId="0" borderId="12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32" fillId="0" borderId="12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34" fillId="0" borderId="12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36" fillId="0" borderId="12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38" fillId="0" borderId="12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40" fillId="0" borderId="12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42" fillId="0" borderId="126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8844" fillId="0" borderId="126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846" fillId="0" borderId="126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8848" fillId="0" borderId="126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850" fillId="0" borderId="12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52" fillId="0" borderId="12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54" fillId="0" borderId="12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56" fillId="0" borderId="12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58" fillId="0" borderId="12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60" fillId="0" borderId="12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62" fillId="0" borderId="12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64" fillId="0" borderId="12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66" fillId="0" borderId="12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68" fillId="0" borderId="12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70" fillId="0" borderId="12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72" fillId="0" borderId="12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74" fillId="0" borderId="12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76" fillId="0" borderId="12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78" fillId="0" borderId="12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80" fillId="0" borderId="12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82" fillId="0" borderId="126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8884" fillId="0" borderId="126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886" fillId="0" borderId="126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8888" fillId="0" borderId="126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890" fillId="0" borderId="12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92" fillId="0" borderId="12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94" fillId="0" borderId="12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96" fillId="0" borderId="12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98" fillId="0" borderId="12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00" fillId="0" borderId="12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02" fillId="0" borderId="12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04" fillId="0" borderId="12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06" fillId="0" borderId="12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08" fillId="0" borderId="12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10" fillId="0" borderId="12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12" fillId="0" borderId="12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14" fillId="0" borderId="12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16" fillId="0" borderId="12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18" fillId="0" borderId="12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20" fillId="0" borderId="12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22" fillId="0" borderId="127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8924" fillId="0" borderId="12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926" fillId="0" borderId="12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8928" fillId="0" borderId="127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930" fillId="0" borderId="12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32" fillId="0" borderId="12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34" fillId="0" borderId="12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36" fillId="0" borderId="12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38" fillId="0" borderId="12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40" fillId="0" borderId="12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42" fillId="0" borderId="12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44" fillId="0" borderId="12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46" fillId="0" borderId="12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48" fillId="0" borderId="12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50" fillId="0" borderId="12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52" fillId="0" borderId="12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54" fillId="0" borderId="12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56" fillId="0" borderId="12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58" fillId="0" borderId="12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60" fillId="0" borderId="12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62" fillId="0" borderId="127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8964" fillId="0" borderId="127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966" fillId="0" borderId="12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8968" fillId="0" borderId="127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970" fillId="0" borderId="12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72" fillId="0" borderId="12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74" fillId="0" borderId="12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76" fillId="0" borderId="12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78" fillId="0" borderId="12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80" fillId="0" borderId="12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82" fillId="0" borderId="12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84" fillId="0" borderId="12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86" fillId="0" borderId="12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88" fillId="0" borderId="12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90" fillId="0" borderId="12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92" fillId="0" borderId="12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94" fillId="0" borderId="12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96" fillId="0" borderId="12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98" fillId="0" borderId="12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00" fillId="0" borderId="12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02" fillId="0" borderId="127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9004" fillId="0" borderId="127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006" fillId="0" borderId="12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9008" fillId="0" borderId="127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010" fillId="0" borderId="12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12" fillId="0" borderId="12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14" fillId="0" borderId="12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16" fillId="0" borderId="12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18" fillId="0" borderId="12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20" fillId="0" borderId="12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22" fillId="0" borderId="12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24" fillId="0" borderId="12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26" fillId="0" borderId="12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28" fillId="0" borderId="12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30" fillId="0" borderId="12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32" fillId="0" borderId="12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34" fillId="0" borderId="12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36" fillId="0" borderId="12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38" fillId="0" borderId="12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40" fillId="0" borderId="12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42" fillId="0" borderId="127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9044" fillId="0" borderId="127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046" fillId="0" borderId="12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9048" fillId="0" borderId="127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050" fillId="0" borderId="12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52" fillId="0" borderId="12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54" fillId="0" borderId="12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56" fillId="0" borderId="12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58" fillId="0" borderId="12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60" fillId="0" borderId="12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62" fillId="0" borderId="12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64" fillId="0" borderId="12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66" fillId="0" borderId="12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68" fillId="0" borderId="12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70" fillId="0" borderId="12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72" fillId="0" borderId="12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74" fillId="0" borderId="12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76" fillId="0" borderId="12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78" fillId="0" borderId="12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80" fillId="0" borderId="12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82" fillId="0" borderId="127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9084" fillId="0" borderId="127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086" fillId="0" borderId="127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9088" fillId="0" borderId="127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090" fillId="0" borderId="12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92" fillId="0" borderId="12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94" fillId="0" borderId="12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96" fillId="0" borderId="12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98" fillId="0" borderId="12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00" fillId="0" borderId="12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02" fillId="0" borderId="12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04" fillId="0" borderId="12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06" fillId="0" borderId="12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08" fillId="0" borderId="12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10" fillId="0" borderId="12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12" fillId="0" borderId="12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14" fillId="0" borderId="12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16" fillId="0" borderId="12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18" fillId="0" borderId="12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20" fillId="0" borderId="12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22" fillId="0" borderId="128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9124" fillId="0" borderId="12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126" fillId="0" borderId="12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9128" fillId="0" borderId="12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130" fillId="0" borderId="12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32" fillId="0" borderId="12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34" fillId="0" borderId="12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36" fillId="0" borderId="12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38" fillId="0" borderId="12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40" fillId="0" borderId="12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42" fillId="0" borderId="12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44" fillId="0" borderId="12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46" fillId="0" borderId="12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48" fillId="0" borderId="12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50" fillId="0" borderId="12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52" fillId="0" borderId="12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54" fillId="0" borderId="12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56" fillId="0" borderId="12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58" fillId="0" borderId="12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60" fillId="0" borderId="12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62" fillId="0" borderId="128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9164" fillId="0" borderId="12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166" fillId="0" borderId="12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9168" fillId="0" borderId="12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170" fillId="0" borderId="12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72" fillId="0" borderId="12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74" fillId="0" borderId="12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76" fillId="0" borderId="12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78" fillId="0" borderId="12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80" fillId="0" borderId="12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82" fillId="0" borderId="12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84" fillId="0" borderId="12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86" fillId="0" borderId="12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88" fillId="0" borderId="12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90" fillId="0" borderId="12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92" fillId="0" borderId="12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94" fillId="0" borderId="12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96" fillId="0" borderId="12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98" fillId="0" borderId="12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00" fillId="0" borderId="12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02" fillId="0" borderId="128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9204" fillId="0" borderId="12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206" fillId="0" borderId="12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9208" fillId="0" borderId="128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210" fillId="0" borderId="12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12" fillId="0" borderId="12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14" fillId="0" borderId="12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16" fillId="0" borderId="12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18" fillId="0" borderId="12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20" fillId="0" borderId="12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22" fillId="0" borderId="12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24" fillId="0" borderId="12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26" fillId="0" borderId="12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28" fillId="0" borderId="12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30" fillId="0" borderId="12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32" fillId="0" borderId="12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34" fillId="0" borderId="12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36" fillId="0" borderId="12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38" fillId="0" borderId="12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40" fillId="0" borderId="12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42" fillId="0" borderId="128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9244" fillId="0" borderId="128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246" fillId="0" borderId="12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9248" fillId="0" borderId="128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250" fillId="0" borderId="12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52" fillId="0" borderId="12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54" fillId="0" borderId="12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56" fillId="0" borderId="12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58" fillId="0" borderId="12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60" fillId="0" borderId="12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62" fillId="0" borderId="12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64" fillId="0" borderId="12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66" fillId="0" borderId="12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68" fillId="0" borderId="12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70" fillId="0" borderId="12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72" fillId="0" borderId="12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74" fillId="0" borderId="12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76" fillId="0" borderId="12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78" fillId="0" borderId="12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80" fillId="0" borderId="12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82" fillId="0" borderId="128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9284" fillId="0" borderId="128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286" fillId="0" borderId="128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9288" fillId="0" borderId="12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290" fillId="0" borderId="12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92" fillId="0" borderId="12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94" fillId="0" borderId="12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96" fillId="0" borderId="12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98" fillId="0" borderId="12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00" fillId="0" borderId="12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02" fillId="0" borderId="12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04" fillId="0" borderId="12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06" fillId="0" borderId="12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08" fillId="0" borderId="12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10" fillId="0" borderId="12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12" fillId="0" borderId="12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14" fillId="0" borderId="12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16" fillId="0" borderId="12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18" fillId="0" borderId="12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20" fillId="0" borderId="12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22" fillId="0" borderId="129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9324" fillId="0" borderId="12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326" fillId="0" borderId="129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9328" fillId="0" borderId="129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330" fillId="0" borderId="12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32" fillId="0" borderId="12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34" fillId="0" borderId="12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36" fillId="0" borderId="12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38" fillId="0" borderId="12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40" fillId="0" borderId="12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42" fillId="0" borderId="12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44" fillId="0" borderId="12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46" fillId="0" borderId="12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48" fillId="0" borderId="12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50" fillId="0" borderId="12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52" fillId="0" borderId="12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54" fillId="0" borderId="12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56" fillId="0" borderId="12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58" fillId="0" borderId="12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60" fillId="0" borderId="12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62" fillId="0" borderId="129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9364" fillId="0" borderId="129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366" fillId="0" borderId="12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9368" fillId="0" borderId="129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370" fillId="0" borderId="12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72" fillId="0" borderId="12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74" fillId="0" borderId="12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76" fillId="0" borderId="12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78" fillId="0" borderId="12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80" fillId="0" borderId="12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82" fillId="0" borderId="12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84" fillId="0" borderId="12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86" fillId="0" borderId="12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88" fillId="0" borderId="12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90" fillId="0" borderId="12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92" fillId="0" borderId="12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94" fillId="0" borderId="12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96" fillId="0" borderId="12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98" fillId="0" borderId="12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00" fillId="0" borderId="12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02" fillId="344" borderId="12954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9404" fillId="345" borderId="12955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406" fillId="346" borderId="12956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9408" fillId="347" borderId="12957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10" fillId="0" borderId="12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12" fillId="0" borderId="12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14" fillId="0" borderId="12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16" fillId="0" borderId="12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18" fillId="0" borderId="12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20" fillId="0" borderId="12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22" fillId="0" borderId="12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24" fillId="0" borderId="12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26" fillId="0" borderId="12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28" fillId="0" borderId="12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30" fillId="0" borderId="12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32" fillId="0" borderId="12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34" fillId="0" borderId="12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36" fillId="0" borderId="12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38" fillId="0" borderId="12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40" fillId="0" borderId="12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42" fillId="0" borderId="12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44" fillId="0" borderId="12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46" fillId="0" borderId="12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48" fillId="0" borderId="12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50" fillId="0" borderId="12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52" fillId="0" borderId="12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54" fillId="0" borderId="12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56" fillId="0" borderId="12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58" fillId="0" borderId="12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60" fillId="0" borderId="12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62" fillId="0" borderId="12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64" fillId="0" borderId="12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66" fillId="0" borderId="12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68" fillId="0" borderId="12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70" fillId="0" borderId="12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72" fillId="0" borderId="12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74" fillId="0" borderId="12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76" fillId="0" borderId="12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78" fillId="0" borderId="12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80" fillId="0" borderId="12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82" fillId="0" borderId="12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84" fillId="0" borderId="12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86" fillId="0" borderId="12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88" fillId="0" borderId="12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90" fillId="0" borderId="12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92" fillId="0" borderId="12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94" fillId="0" borderId="13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96" fillId="0" borderId="13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98" fillId="0" borderId="13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00" fillId="0" borderId="13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02" fillId="0" borderId="13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04" fillId="0" borderId="13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06" fillId="0" borderId="13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08" fillId="0" borderId="13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10" fillId="0" borderId="13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12" fillId="0" borderId="13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14" fillId="0" borderId="13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16" fillId="0" borderId="13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18" fillId="0" borderId="13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20" fillId="0" borderId="13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3014" xfId="0"/>
    <xf numFmtId="0" fontId="19522" fillId="0" borderId="13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24" fillId="0" borderId="13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26" fillId="0" borderId="13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28" fillId="0" borderId="13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30" fillId="0" borderId="13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32" fillId="0" borderId="13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34" fillId="0" borderId="13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36" fillId="0" borderId="13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38" fillId="0" borderId="13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40" fillId="0" borderId="13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42" fillId="0" borderId="13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44" fillId="0" borderId="13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46" fillId="0" borderId="13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48" fillId="0" borderId="13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50" fillId="0" borderId="13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52" fillId="0" borderId="13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54" fillId="0" borderId="13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56" fillId="0" borderId="13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58" fillId="0" borderId="13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60" fillId="0" borderId="13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62" fillId="0" borderId="13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64" fillId="0" borderId="130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566" fillId="0" borderId="130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568" fillId="0" borderId="13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570" fillId="0" borderId="13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72" fillId="0" borderId="13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74" fillId="0" borderId="13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76" fillId="0" borderId="13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78" fillId="0" borderId="13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80" fillId="0" borderId="13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82" fillId="0" borderId="13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84" fillId="0" borderId="13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86" fillId="0" borderId="13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88" fillId="0" borderId="13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90" fillId="0" borderId="13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92" fillId="0" borderId="13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94" fillId="0" borderId="13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96" fillId="0" borderId="13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98" fillId="0" borderId="13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00" fillId="0" borderId="13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02" fillId="0" borderId="130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604" fillId="0" borderId="13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06" fillId="0" borderId="13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08" fillId="0" borderId="13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10" fillId="0" borderId="13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12" fillId="0" borderId="13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14" fillId="0" borderId="13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16" fillId="0" borderId="13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18" fillId="0" borderId="13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20" fillId="0" borderId="13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22" fillId="0" borderId="13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24" fillId="0" borderId="13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26" fillId="0" borderId="13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28" fillId="0" borderId="13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30" fillId="0" borderId="13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32" fillId="0" borderId="13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34" fillId="0" borderId="13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36" fillId="0" borderId="13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38" fillId="0" borderId="13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40" fillId="0" borderId="13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42" fillId="0" borderId="130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9644" fillId="0" borderId="130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646" fillId="0" borderId="130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9648" fillId="0" borderId="130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650" fillId="0" borderId="13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52" fillId="0" borderId="13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54" fillId="0" borderId="13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56" fillId="0" borderId="13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58" fillId="0" borderId="13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60" fillId="0" borderId="13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62" fillId="0" borderId="13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64" fillId="0" borderId="13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66" fillId="0" borderId="13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68" fillId="0" borderId="13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70" fillId="0" borderId="13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72" fillId="0" borderId="13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74" fillId="0" borderId="13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76" fillId="0" borderId="13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78" fillId="0" borderId="13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80" fillId="0" borderId="13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82" fillId="0" borderId="130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9684" fillId="0" borderId="130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686" fillId="0" borderId="130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9688" fillId="0" borderId="130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690" fillId="0" borderId="13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92" fillId="0" borderId="13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94" fillId="0" borderId="13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96" fillId="0" borderId="13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98" fillId="0" borderId="13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00" fillId="0" borderId="13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02" fillId="0" borderId="13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04" fillId="0" borderId="13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06" fillId="0" borderId="13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08" fillId="0" borderId="13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10" fillId="0" borderId="13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12" fillId="0" borderId="13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14" fillId="0" borderId="13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16" fillId="0" borderId="13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18" fillId="0" borderId="13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20" fillId="0" borderId="13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22" fillId="0" borderId="131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9724" fillId="0" borderId="13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726" fillId="0" borderId="13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9728" fillId="0" borderId="13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730" fillId="0" borderId="13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32" fillId="0" borderId="13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34" fillId="0" borderId="13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36" fillId="0" borderId="13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38" fillId="0" borderId="13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40" fillId="0" borderId="13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42" fillId="0" borderId="13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44" fillId="0" borderId="13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46" fillId="0" borderId="13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48" fillId="0" borderId="13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50" fillId="0" borderId="13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52" fillId="0" borderId="13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54" fillId="0" borderId="13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56" fillId="0" borderId="13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58" fillId="0" borderId="13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60" fillId="0" borderId="13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62" fillId="0" borderId="131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9764" fillId="0" borderId="13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766" fillId="0" borderId="13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9768" fillId="0" borderId="13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770" fillId="0" borderId="13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72" fillId="0" borderId="13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74" fillId="0" borderId="13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76" fillId="0" borderId="13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78" fillId="0" borderId="13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80" fillId="0" borderId="13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82" fillId="0" borderId="13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84" fillId="0" borderId="13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86" fillId="0" borderId="13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88" fillId="0" borderId="13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90" fillId="0" borderId="13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92" fillId="0" borderId="13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94" fillId="0" borderId="13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96" fillId="0" borderId="13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98" fillId="0" borderId="13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00" fillId="0" borderId="13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02" fillId="0" borderId="131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9804" fillId="0" borderId="13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806" fillId="0" borderId="13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9808" fillId="0" borderId="13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810" fillId="0" borderId="13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12" fillId="0" borderId="13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14" fillId="0" borderId="13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16" fillId="0" borderId="13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18" fillId="0" borderId="13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20" fillId="0" borderId="13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22" fillId="0" borderId="13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24" fillId="0" borderId="13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26" fillId="0" borderId="13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28" fillId="0" borderId="13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30" fillId="0" borderId="13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32" fillId="0" borderId="13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34" fillId="0" borderId="13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36" fillId="0" borderId="13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38" fillId="0" borderId="13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40" fillId="0" borderId="13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42" fillId="0" borderId="131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9844" fillId="0" borderId="13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846" fillId="0" borderId="13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9848" fillId="0" borderId="13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850" fillId="0" borderId="13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52" fillId="0" borderId="13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54" fillId="0" borderId="13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56" fillId="0" borderId="13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58" fillId="0" borderId="13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60" fillId="0" borderId="13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62" fillId="0" borderId="13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64" fillId="0" borderId="13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66" fillId="0" borderId="13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68" fillId="0" borderId="13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70" fillId="0" borderId="13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72" fillId="0" borderId="13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74" fillId="0" borderId="13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76" fillId="0" borderId="13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78" fillId="0" borderId="13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80" fillId="0" borderId="13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82" fillId="0" borderId="131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9884" fillId="0" borderId="13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886" fillId="0" borderId="13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9888" fillId="0" borderId="13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890" fillId="0" borderId="13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92" fillId="0" borderId="13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94" fillId="0" borderId="13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96" fillId="0" borderId="13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98" fillId="0" borderId="13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00" fillId="0" borderId="13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02" fillId="0" borderId="13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04" fillId="0" borderId="13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06" fillId="0" borderId="13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08" fillId="0" borderId="13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10" fillId="0" borderId="13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12" fillId="0" borderId="13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14" fillId="0" borderId="13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16" fillId="0" borderId="13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18" fillId="0" borderId="13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20" fillId="0" borderId="13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22" fillId="0" borderId="132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9924" fillId="0" borderId="13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926" fillId="0" borderId="13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9928" fillId="0" borderId="13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930" fillId="0" borderId="13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32" fillId="0" borderId="13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34" fillId="0" borderId="13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36" fillId="0" borderId="13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38" fillId="0" borderId="13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40" fillId="0" borderId="13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42" fillId="0" borderId="13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44" fillId="0" borderId="13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46" fillId="0" borderId="13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48" fillId="0" borderId="13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50" fillId="0" borderId="13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52" fillId="0" borderId="13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54" fillId="0" borderId="13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56" fillId="0" borderId="13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58" fillId="0" borderId="13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60" fillId="0" borderId="13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62" fillId="0" borderId="132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9964" fillId="0" borderId="13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966" fillId="0" borderId="13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9968" fillId="0" borderId="132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970" fillId="0" borderId="13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72" fillId="0" borderId="13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74" fillId="0" borderId="13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76" fillId="0" borderId="13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78" fillId="0" borderId="13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80" fillId="0" borderId="13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82" fillId="0" borderId="13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84" fillId="0" borderId="13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86" fillId="0" borderId="13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88" fillId="0" borderId="13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90" fillId="0" borderId="13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92" fillId="0" borderId="13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94" fillId="0" borderId="13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96" fillId="0" borderId="13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98" fillId="0" borderId="13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00" fillId="0" borderId="13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02" fillId="0" borderId="132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0004" fillId="0" borderId="13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006" fillId="0" borderId="132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0008" fillId="0" borderId="13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010" fillId="0" borderId="13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12" fillId="0" borderId="13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14" fillId="0" borderId="13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16" fillId="0" borderId="13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18" fillId="0" borderId="13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20" fillId="0" borderId="13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22" fillId="0" borderId="13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24" fillId="0" borderId="13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26" fillId="0" borderId="13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28" fillId="0" borderId="13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30" fillId="0" borderId="13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32" fillId="0" borderId="13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34" fillId="0" borderId="13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36" fillId="0" borderId="13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38" fillId="0" borderId="13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40" fillId="0" borderId="13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42" fillId="0" borderId="132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0044" fillId="0" borderId="13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046" fillId="0" borderId="13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0048" fillId="0" borderId="132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050" fillId="0" borderId="13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52" fillId="0" borderId="13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54" fillId="0" borderId="13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56" fillId="0" borderId="13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58" fillId="0" borderId="13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60" fillId="0" borderId="13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62" fillId="0" borderId="13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64" fillId="0" borderId="13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66" fillId="0" borderId="13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68" fillId="0" borderId="13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70" fillId="0" borderId="13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72" fillId="0" borderId="13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74" fillId="0" borderId="13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76" fillId="0" borderId="13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78" fillId="0" borderId="13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80" fillId="0" borderId="13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82" fillId="0" borderId="132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0084" fillId="0" borderId="132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086" fillId="0" borderId="13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0088" fillId="0" borderId="132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090" fillId="0" borderId="13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92" fillId="0" borderId="13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94" fillId="0" borderId="13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96" fillId="0" borderId="13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98" fillId="0" borderId="13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00" fillId="0" borderId="13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02" fillId="0" borderId="13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04" fillId="0" borderId="13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06" fillId="0" borderId="13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08" fillId="0" borderId="13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10" fillId="0" borderId="13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12" fillId="0" borderId="13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14" fillId="0" borderId="13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16" fillId="0" borderId="13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18" fillId="0" borderId="13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20" fillId="0" borderId="13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22" fillId="0" borderId="133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0124" fillId="0" borderId="13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126" fillId="0" borderId="13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0128" fillId="0" borderId="13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130" fillId="0" borderId="13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32" fillId="0" borderId="13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34" fillId="0" borderId="13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36" fillId="0" borderId="13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38" fillId="0" borderId="13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40" fillId="0" borderId="13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42" fillId="0" borderId="13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44" fillId="0" borderId="13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46" fillId="0" borderId="13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48" fillId="0" borderId="13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50" fillId="0" borderId="13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52" fillId="0" borderId="13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54" fillId="0" borderId="13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56" fillId="0" borderId="13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58" fillId="0" borderId="13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60" fillId="0" borderId="13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62" fillId="0" borderId="133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0164" fillId="0" borderId="13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166" fillId="0" borderId="133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0168" fillId="0" borderId="13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170" fillId="0" borderId="13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72" fillId="0" borderId="13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74" fillId="0" borderId="13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76" fillId="0" borderId="13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78" fillId="0" borderId="13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80" fillId="0" borderId="13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82" fillId="0" borderId="13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84" fillId="0" borderId="13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86" fillId="0" borderId="13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88" fillId="0" borderId="13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90" fillId="0" borderId="13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92" fillId="0" borderId="13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94" fillId="0" borderId="13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96" fillId="0" borderId="13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98" fillId="0" borderId="13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00" fillId="0" borderId="13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02" fillId="348" borderId="13355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0204" fillId="349" borderId="13356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206" fillId="350" borderId="13357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0208" fillId="351" borderId="13358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210" fillId="0" borderId="13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12" fillId="0" borderId="13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14" fillId="0" borderId="13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16" fillId="0" borderId="13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18" fillId="0" borderId="13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20" fillId="0" borderId="13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22" fillId="0" borderId="13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24" fillId="0" borderId="13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26" fillId="0" borderId="13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28" fillId="0" borderId="13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30" fillId="0" borderId="13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32" fillId="0" borderId="13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34" fillId="0" borderId="13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36" fillId="0" borderId="13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38" fillId="0" borderId="13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40" fillId="0" borderId="13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42" fillId="0" borderId="13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44" fillId="0" borderId="13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46" fillId="0" borderId="13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48" fillId="0" borderId="13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50" fillId="0" borderId="13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52" fillId="0" borderId="13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54" fillId="0" borderId="13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56" fillId="0" borderId="13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58" fillId="0" borderId="13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60" fillId="0" borderId="13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62" fillId="0" borderId="13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64" fillId="0" borderId="13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66" fillId="0" borderId="13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68" fillId="0" borderId="13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70" fillId="0" borderId="13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72" fillId="0" borderId="13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74" fillId="0" borderId="13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76" fillId="0" borderId="13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78" fillId="0" borderId="13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80" fillId="0" borderId="13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82" fillId="0" borderId="13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84" fillId="0" borderId="13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86" fillId="0" borderId="13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88" fillId="0" borderId="13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90" fillId="0" borderId="13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92" fillId="0" borderId="13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94" fillId="0" borderId="13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96" fillId="0" borderId="13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98" fillId="0" borderId="13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00" fillId="0" borderId="13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02" fillId="0" borderId="13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04" fillId="0" borderId="13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06" fillId="0" borderId="13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08" fillId="0" borderId="13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10" fillId="0" borderId="13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12" fillId="0" borderId="13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14" fillId="0" borderId="13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16" fillId="0" borderId="13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18" fillId="0" borderId="13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20" fillId="0" borderId="13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3415" xfId="0"/>
    <xf numFmtId="0" fontId="20322" fillId="0" borderId="13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24" fillId="0" borderId="13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26" fillId="0" borderId="13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28" fillId="0" borderId="13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30" fillId="0" borderId="13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32" fillId="0" borderId="13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34" fillId="0" borderId="13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36" fillId="0" borderId="13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38" fillId="0" borderId="13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40" fillId="0" borderId="13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42" fillId="0" borderId="13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44" fillId="0" borderId="13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46" fillId="0" borderId="13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48" fillId="0" borderId="13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50" fillId="0" borderId="13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52" fillId="0" borderId="13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54" fillId="0" borderId="13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56" fillId="0" borderId="13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58" fillId="0" borderId="13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60" fillId="0" borderId="13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62" fillId="0" borderId="13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64" fillId="0" borderId="13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366" fillId="0" borderId="134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368" fillId="0" borderId="13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370" fillId="0" borderId="13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72" fillId="0" borderId="13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74" fillId="0" borderId="13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76" fillId="0" borderId="13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78" fillId="0" borderId="13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80" fillId="0" borderId="13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82" fillId="0" borderId="13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84" fillId="0" borderId="13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86" fillId="0" borderId="13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88" fillId="0" borderId="13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90" fillId="0" borderId="13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92" fillId="0" borderId="13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94" fillId="0" borderId="13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96" fillId="0" borderId="13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98" fillId="0" borderId="13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00" fillId="0" borderId="13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02" fillId="0" borderId="134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404" fillId="0" borderId="13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06" fillId="0" borderId="13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08" fillId="0" borderId="13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10" fillId="0" borderId="13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12" fillId="0" borderId="13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14" fillId="0" borderId="13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16" fillId="0" borderId="13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18" fillId="0" borderId="13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20" fillId="0" borderId="13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22" fillId="0" borderId="13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24" fillId="0" borderId="13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26" fillId="0" borderId="13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28" fillId="0" borderId="13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30" fillId="0" borderId="13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32" fillId="0" borderId="13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34" fillId="0" borderId="13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36" fillId="0" borderId="13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38" fillId="0" borderId="13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40" fillId="0" borderId="13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42" fillId="0" borderId="134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0444" fillId="0" borderId="134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446" fillId="0" borderId="13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0448" fillId="0" borderId="13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450" fillId="0" borderId="13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52" fillId="0" borderId="13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54" fillId="0" borderId="13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56" fillId="0" borderId="13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58" fillId="0" borderId="13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60" fillId="0" borderId="13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62" fillId="0" borderId="13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64" fillId="0" borderId="13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66" fillId="0" borderId="13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68" fillId="0" borderId="13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70" fillId="0" borderId="13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72" fillId="0" borderId="13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74" fillId="0" borderId="13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76" fillId="0" borderId="13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78" fillId="0" borderId="13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80" fillId="0" borderId="13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82" fillId="0" borderId="134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0484" fillId="0" borderId="134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486" fillId="0" borderId="134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0488" fillId="0" borderId="13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490" fillId="0" borderId="13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92" fillId="0" borderId="13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94" fillId="0" borderId="13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96" fillId="0" borderId="13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98" fillId="0" borderId="13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00" fillId="0" borderId="13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02" fillId="0" borderId="13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04" fillId="0" borderId="13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06" fillId="0" borderId="13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08" fillId="0" borderId="13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10" fillId="0" borderId="13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12" fillId="0" borderId="13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14" fillId="0" borderId="13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16" fillId="0" borderId="13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18" fillId="0" borderId="13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20" fillId="0" borderId="13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22" fillId="0" borderId="135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0524" fillId="0" borderId="135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526" fillId="0" borderId="135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0528" fillId="0" borderId="13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530" fillId="0" borderId="13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32" fillId="0" borderId="13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34" fillId="0" borderId="13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36" fillId="0" borderId="13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38" fillId="0" borderId="13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40" fillId="0" borderId="13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42" fillId="0" borderId="13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44" fillId="0" borderId="13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46" fillId="0" borderId="13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48" fillId="0" borderId="13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50" fillId="0" borderId="13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52" fillId="0" borderId="13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54" fillId="0" borderId="13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56" fillId="0" borderId="13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58" fillId="0" borderId="13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60" fillId="0" borderId="13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62" fillId="0" borderId="135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0564" fillId="0" borderId="135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566" fillId="0" borderId="135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0568" fillId="0" borderId="135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570" fillId="0" borderId="13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72" fillId="0" borderId="13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74" fillId="0" borderId="13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76" fillId="0" borderId="13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78" fillId="0" borderId="13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80" fillId="0" borderId="13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82" fillId="0" borderId="13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84" fillId="0" borderId="13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86" fillId="0" borderId="13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88" fillId="0" borderId="13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90" fillId="0" borderId="13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92" fillId="0" borderId="13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94" fillId="0" borderId="13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96" fillId="0" borderId="13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98" fillId="0" borderId="13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00" fillId="0" borderId="13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02" fillId="0" borderId="135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0604" fillId="0" borderId="135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606" fillId="0" borderId="135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0608" fillId="0" borderId="13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610" fillId="0" borderId="13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12" fillId="0" borderId="13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14" fillId="0" borderId="13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16" fillId="0" borderId="13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18" fillId="0" borderId="13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20" fillId="0" borderId="13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22" fillId="0" borderId="13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24" fillId="0" borderId="13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26" fillId="0" borderId="13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28" fillId="0" borderId="13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30" fillId="0" borderId="13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32" fillId="0" borderId="13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34" fillId="0" borderId="13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36" fillId="0" borderId="13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38" fillId="0" borderId="13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40" fillId="0" borderId="13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42" fillId="0" borderId="135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0644" fillId="0" borderId="13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646" fillId="0" borderId="135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0648" fillId="0" borderId="13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650" fillId="0" borderId="13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52" fillId="0" borderId="13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54" fillId="0" borderId="13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56" fillId="0" borderId="13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58" fillId="0" borderId="13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60" fillId="0" borderId="13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62" fillId="0" borderId="13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64" fillId="0" borderId="13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66" fillId="0" borderId="13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68" fillId="0" borderId="13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70" fillId="0" borderId="13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72" fillId="0" borderId="13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74" fillId="0" borderId="13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76" fillId="0" borderId="13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78" fillId="0" borderId="13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80" fillId="0" borderId="13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82" fillId="0" borderId="135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0684" fillId="0" borderId="13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686" fillId="0" borderId="135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0688" fillId="0" borderId="135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690" fillId="0" borderId="13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92" fillId="0" borderId="13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94" fillId="0" borderId="13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96" fillId="0" borderId="13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98" fillId="0" borderId="13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00" fillId="0" borderId="13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02" fillId="0" borderId="13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04" fillId="0" borderId="13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06" fillId="0" borderId="13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08" fillId="0" borderId="13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10" fillId="0" borderId="13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12" fillId="0" borderId="13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14" fillId="0" borderId="13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16" fillId="0" borderId="13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18" fillId="0" borderId="13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20" fillId="0" borderId="13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22" fillId="0" borderId="136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0724" fillId="0" borderId="13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726" fillId="0" borderId="13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0728" fillId="0" borderId="13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730" fillId="0" borderId="13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32" fillId="0" borderId="13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34" fillId="0" borderId="13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36" fillId="0" borderId="13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38" fillId="0" borderId="13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40" fillId="0" borderId="13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42" fillId="0" borderId="13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44" fillId="0" borderId="13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46" fillId="0" borderId="13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48" fillId="0" borderId="13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50" fillId="0" borderId="13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52" fillId="0" borderId="13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54" fillId="0" borderId="13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56" fillId="0" borderId="13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58" fillId="0" borderId="13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60" fillId="0" borderId="13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62" fillId="0" borderId="136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0764" fillId="0" borderId="13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766" fillId="0" borderId="13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0768" fillId="0" borderId="13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770" fillId="0" borderId="13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72" fillId="0" borderId="13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74" fillId="0" borderId="13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76" fillId="0" borderId="13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78" fillId="0" borderId="13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80" fillId="0" borderId="13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82" fillId="0" borderId="13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84" fillId="0" borderId="13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86" fillId="0" borderId="13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88" fillId="0" borderId="13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90" fillId="0" borderId="13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92" fillId="0" borderId="13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94" fillId="0" borderId="13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96" fillId="0" borderId="13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98" fillId="0" borderId="13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00" fillId="0" borderId="13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02" fillId="0" borderId="136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0804" fillId="0" borderId="13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806" fillId="0" borderId="13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0808" fillId="0" borderId="13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810" fillId="0" borderId="13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12" fillId="0" borderId="13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14" fillId="0" borderId="13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16" fillId="0" borderId="13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18" fillId="0" borderId="13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20" fillId="0" borderId="13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22" fillId="0" borderId="13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24" fillId="0" borderId="13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26" fillId="0" borderId="13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28" fillId="0" borderId="13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30" fillId="0" borderId="13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32" fillId="0" borderId="13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34" fillId="0" borderId="13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36" fillId="0" borderId="13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38" fillId="0" borderId="13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40" fillId="0" borderId="13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42" fillId="0" borderId="136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0844" fillId="0" borderId="136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846" fillId="0" borderId="13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0848" fillId="0" borderId="136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850" fillId="0" borderId="13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52" fillId="0" borderId="13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54" fillId="0" borderId="13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56" fillId="0" borderId="13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58" fillId="0" borderId="13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60" fillId="0" borderId="13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62" fillId="0" borderId="13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64" fillId="0" borderId="13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66" fillId="0" borderId="13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68" fillId="0" borderId="13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70" fillId="0" borderId="13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72" fillId="0" borderId="13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74" fillId="0" borderId="13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76" fillId="0" borderId="13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78" fillId="0" borderId="13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80" fillId="0" borderId="13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82" fillId="0" borderId="136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0884" fillId="0" borderId="136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886" fillId="0" borderId="13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0888" fillId="0" borderId="13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890" fillId="0" borderId="13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92" fillId="0" borderId="13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94" fillId="0" borderId="13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96" fillId="0" borderId="13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98" fillId="0" borderId="13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00" fillId="0" borderId="13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02" fillId="0" borderId="13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04" fillId="0" borderId="13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06" fillId="0" borderId="13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08" fillId="0" borderId="13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10" fillId="0" borderId="13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12" fillId="0" borderId="13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14" fillId="0" borderId="13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16" fillId="0" borderId="13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18" fillId="0" borderId="13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20" fillId="0" borderId="13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22" fillId="0" borderId="137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0924" fillId="0" borderId="137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926" fillId="0" borderId="137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0928" fillId="0" borderId="13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930" fillId="0" borderId="13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32" fillId="0" borderId="13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34" fillId="0" borderId="13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36" fillId="0" borderId="13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38" fillId="0" borderId="13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40" fillId="0" borderId="13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42" fillId="0" borderId="13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44" fillId="0" borderId="13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46" fillId="0" borderId="13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48" fillId="0" borderId="13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50" fillId="0" borderId="13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52" fillId="0" borderId="13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54" fillId="0" borderId="13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56" fillId="0" borderId="13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58" fillId="0" borderId="13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60" fillId="0" borderId="13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62" fillId="0" borderId="137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0964" fillId="0" borderId="137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966" fillId="0" borderId="137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0968" fillId="0" borderId="137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970" fillId="0" borderId="13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72" fillId="0" borderId="13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74" fillId="0" borderId="13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76" fillId="0" borderId="13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78" fillId="0" borderId="13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80" fillId="0" borderId="13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82" fillId="0" borderId="13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84" fillId="0" borderId="13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86" fillId="0" borderId="13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88" fillId="0" borderId="13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90" fillId="0" borderId="13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92" fillId="0" borderId="13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94" fillId="0" borderId="13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96" fillId="0" borderId="13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98" fillId="0" borderId="13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00" fillId="0" borderId="13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02" fillId="352" borderId="13756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1004" fillId="353" borderId="13757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006" fillId="354" borderId="13758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1008" fillId="355" borderId="13759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010" fillId="0" borderId="13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12" fillId="0" borderId="13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14" fillId="0" borderId="13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16" fillId="0" borderId="13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18" fillId="0" borderId="13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20" fillId="0" borderId="13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22" fillId="0" borderId="13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24" fillId="0" borderId="13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26" fillId="0" borderId="13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28" fillId="0" borderId="13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30" fillId="0" borderId="13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32" fillId="0" borderId="13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34" fillId="0" borderId="13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36" fillId="0" borderId="13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38" fillId="0" borderId="13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40" fillId="0" borderId="13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42" fillId="0" borderId="13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44" fillId="0" borderId="13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46" fillId="0" borderId="13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48" fillId="0" borderId="13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50" fillId="0" borderId="13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52" fillId="0" borderId="13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54" fillId="0" borderId="13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56" fillId="0" borderId="13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58" fillId="0" borderId="13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60" fillId="0" borderId="13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62" fillId="0" borderId="13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64" fillId="0" borderId="13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66" fillId="0" borderId="13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68" fillId="0" borderId="13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70" fillId="0" borderId="13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72" fillId="0" borderId="13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74" fillId="0" borderId="13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76" fillId="0" borderId="13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78" fillId="0" borderId="13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80" fillId="0" borderId="13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82" fillId="0" borderId="13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84" fillId="0" borderId="13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86" fillId="0" borderId="13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88" fillId="0" borderId="13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90" fillId="0" borderId="13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92" fillId="0" borderId="13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94" fillId="0" borderId="13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96" fillId="0" borderId="13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98" fillId="0" borderId="13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00" fillId="0" borderId="13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02" fillId="0" borderId="13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04" fillId="0" borderId="13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06" fillId="0" borderId="13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08" fillId="0" borderId="13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10" fillId="0" borderId="13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12" fillId="0" borderId="13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14" fillId="0" borderId="13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16" fillId="0" borderId="13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18" fillId="0" borderId="13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20" fillId="0" borderId="13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3816" xfId="0"/>
    <xf numFmtId="0" fontId="21122" fillId="0" borderId="13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24" fillId="0" borderId="13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26" fillId="0" borderId="13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28" fillId="0" borderId="13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30" fillId="0" borderId="13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32" fillId="0" borderId="13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34" fillId="0" borderId="13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36" fillId="0" borderId="13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38" fillId="0" borderId="13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40" fillId="0" borderId="13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42" fillId="0" borderId="13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44" fillId="0" borderId="13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46" fillId="0" borderId="13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48" fillId="0" borderId="13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50" fillId="0" borderId="13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52" fillId="0" borderId="13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54" fillId="0" borderId="13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56" fillId="0" borderId="13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58" fillId="0" borderId="13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60" fillId="0" borderId="13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62" fillId="0" borderId="13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64" fillId="0" borderId="13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166" fillId="0" borderId="13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168" fillId="0" borderId="138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170" fillId="0" borderId="13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72" fillId="0" borderId="13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74" fillId="0" borderId="13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76" fillId="0" borderId="13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78" fillId="0" borderId="13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80" fillId="0" borderId="13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82" fillId="0" borderId="13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84" fillId="0" borderId="13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86" fillId="0" borderId="13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88" fillId="0" borderId="13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90" fillId="0" borderId="13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92" fillId="0" borderId="13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94" fillId="0" borderId="13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96" fillId="0" borderId="13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98" fillId="0" borderId="13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00" fillId="0" borderId="13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02" fillId="0" borderId="138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204" fillId="0" borderId="13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06" fillId="0" borderId="13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08" fillId="0" borderId="13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10" fillId="0" borderId="13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12" fillId="0" borderId="13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14" fillId="0" borderId="13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16" fillId="0" borderId="13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18" fillId="0" borderId="13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20" fillId="0" borderId="13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22" fillId="0" borderId="13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24" fillId="0" borderId="13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26" fillId="0" borderId="13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28" fillId="0" borderId="13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30" fillId="0" borderId="13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32" fillId="0" borderId="13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34" fillId="0" borderId="13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36" fillId="0" borderId="13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38" fillId="0" borderId="13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40" fillId="0" borderId="13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42" fillId="0" borderId="138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1244" fillId="0" borderId="138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246" fillId="0" borderId="13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1248" fillId="0" borderId="138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250" fillId="0" borderId="13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52" fillId="0" borderId="13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54" fillId="0" borderId="13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56" fillId="0" borderId="13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58" fillId="0" borderId="13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60" fillId="0" borderId="13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62" fillId="0" borderId="13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64" fillId="0" borderId="13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66" fillId="0" borderId="13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68" fillId="0" borderId="13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70" fillId="0" borderId="13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72" fillId="0" borderId="13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74" fillId="0" borderId="13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76" fillId="0" borderId="13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78" fillId="0" borderId="13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80" fillId="0" borderId="13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82" fillId="0" borderId="138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1284" fillId="0" borderId="138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286" fillId="0" borderId="13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1288" fillId="0" borderId="13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290" fillId="0" borderId="13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92" fillId="0" borderId="13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94" fillId="0" borderId="13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96" fillId="0" borderId="13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98" fillId="0" borderId="13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00" fillId="0" borderId="13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02" fillId="0" borderId="13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04" fillId="0" borderId="13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06" fillId="0" borderId="13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08" fillId="0" borderId="13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10" fillId="0" borderId="13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12" fillId="0" borderId="13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14" fillId="0" borderId="13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16" fillId="0" borderId="13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18" fillId="0" borderId="13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20" fillId="0" borderId="13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22" fillId="0" borderId="139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1324" fillId="0" borderId="139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326" fillId="0" borderId="13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1328" fillId="0" borderId="139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330" fillId="0" borderId="13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32" fillId="0" borderId="13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34" fillId="0" borderId="13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36" fillId="0" borderId="13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38" fillId="0" borderId="13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40" fillId="0" borderId="13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42" fillId="0" borderId="13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44" fillId="0" borderId="13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46" fillId="0" borderId="13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48" fillId="0" borderId="13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50" fillId="0" borderId="13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52" fillId="0" borderId="13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54" fillId="0" borderId="13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56" fillId="0" borderId="13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58" fillId="0" borderId="13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60" fillId="0" borderId="13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62" fillId="0" borderId="139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1364" fillId="0" borderId="139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366" fillId="0" borderId="13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1368" fillId="0" borderId="139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370" fillId="0" borderId="13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72" fillId="0" borderId="13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74" fillId="0" borderId="13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76" fillId="0" borderId="13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78" fillId="0" borderId="13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80" fillId="0" borderId="13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82" fillId="0" borderId="13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84" fillId="0" borderId="13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86" fillId="0" borderId="13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88" fillId="0" borderId="13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90" fillId="0" borderId="13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92" fillId="0" borderId="13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94" fillId="0" borderId="13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96" fillId="0" borderId="13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98" fillId="0" borderId="13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00" fillId="0" borderId="13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02" fillId="0" borderId="139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1404" fillId="0" borderId="139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406" fillId="0" borderId="139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1408" fillId="0" borderId="139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410" fillId="0" borderId="13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12" fillId="0" borderId="13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14" fillId="0" borderId="13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16" fillId="0" borderId="13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18" fillId="0" borderId="13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20" fillId="0" borderId="13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22" fillId="0" borderId="13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24" fillId="0" borderId="13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26" fillId="0" borderId="13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28" fillId="0" borderId="13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30" fillId="0" borderId="13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32" fillId="0" borderId="13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34" fillId="0" borderId="13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36" fillId="0" borderId="13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38" fillId="0" borderId="13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40" fillId="0" borderId="13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42" fillId="0" borderId="139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1444" fillId="0" borderId="13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446" fillId="0" borderId="139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1448" fillId="0" borderId="139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450" fillId="0" borderId="13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52" fillId="0" borderId="13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54" fillId="0" borderId="13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56" fillId="0" borderId="13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58" fillId="0" borderId="13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60" fillId="0" borderId="13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62" fillId="0" borderId="13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64" fillId="0" borderId="13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66" fillId="0" borderId="13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68" fillId="0" borderId="13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70" fillId="0" borderId="13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72" fillId="0" borderId="13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74" fillId="0" borderId="13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76" fillId="0" borderId="13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78" fillId="0" borderId="13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80" fillId="0" borderId="13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82" fillId="0" borderId="139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1484" fillId="0" borderId="139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486" fillId="0" borderId="13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1488" fillId="0" borderId="140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490" fillId="0" borderId="14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92" fillId="0" borderId="14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94" fillId="0" borderId="14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96" fillId="0" borderId="14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98" fillId="0" borderId="14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00" fillId="0" borderId="14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02" fillId="0" borderId="14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04" fillId="0" borderId="14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06" fillId="0" borderId="14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08" fillId="0" borderId="14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10" fillId="0" borderId="14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12" fillId="0" borderId="14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14" fillId="0" borderId="14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16" fillId="0" borderId="14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18" fillId="0" borderId="14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20" fillId="0" borderId="14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22" fillId="0" borderId="140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1524" fillId="0" borderId="140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526" fillId="0" borderId="140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1528" fillId="0" borderId="140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530" fillId="0" borderId="14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32" fillId="0" borderId="14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34" fillId="0" borderId="14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36" fillId="0" borderId="14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38" fillId="0" borderId="14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40" fillId="0" borderId="14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42" fillId="0" borderId="14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44" fillId="0" borderId="14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46" fillId="0" borderId="14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48" fillId="0" borderId="14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50" fillId="0" borderId="14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52" fillId="0" borderId="14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54" fillId="0" borderId="14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56" fillId="0" borderId="14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58" fillId="0" borderId="14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60" fillId="0" borderId="14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62" fillId="0" borderId="140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1564" fillId="0" borderId="14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566" fillId="0" borderId="140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1568" fillId="0" borderId="140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570" fillId="0" borderId="14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72" fillId="0" borderId="14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74" fillId="0" borderId="14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76" fillId="0" borderId="14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78" fillId="0" borderId="14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80" fillId="0" borderId="14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82" fillId="0" borderId="14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84" fillId="0" borderId="14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86" fillId="0" borderId="14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88" fillId="0" borderId="14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90" fillId="0" borderId="14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92" fillId="0" borderId="14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94" fillId="0" borderId="14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96" fillId="0" borderId="14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98" fillId="0" borderId="14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00" fillId="0" borderId="14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02" fillId="0" borderId="140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1604" fillId="0" borderId="140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606" fillId="0" borderId="140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1608" fillId="0" borderId="140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610" fillId="0" borderId="14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12" fillId="0" borderId="14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14" fillId="0" borderId="14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16" fillId="0" borderId="14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18" fillId="0" borderId="14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20" fillId="0" borderId="14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22" fillId="0" borderId="14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24" fillId="0" borderId="14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26" fillId="0" borderId="14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28" fillId="0" borderId="14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30" fillId="0" borderId="14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32" fillId="0" borderId="14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34" fillId="0" borderId="14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36" fillId="0" borderId="14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38" fillId="0" borderId="14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40" fillId="0" borderId="14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42" fillId="0" borderId="140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1644" fillId="0" borderId="140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646" fillId="0" borderId="14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1648" fillId="0" borderId="140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650" fillId="0" borderId="14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52" fillId="0" borderId="14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54" fillId="0" borderId="14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56" fillId="0" borderId="14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58" fillId="0" borderId="14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60" fillId="0" borderId="14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62" fillId="0" borderId="14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64" fillId="0" borderId="14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66" fillId="0" borderId="14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68" fillId="0" borderId="14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70" fillId="0" borderId="14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72" fillId="0" borderId="14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74" fillId="0" borderId="14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76" fillId="0" borderId="14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78" fillId="0" borderId="14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80" fillId="0" borderId="14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82" fillId="0" borderId="140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1684" fillId="0" borderId="140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686" fillId="0" borderId="140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1688" fillId="0" borderId="14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690" fillId="0" borderId="14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92" fillId="0" borderId="14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94" fillId="0" borderId="14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96" fillId="0" borderId="14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98" fillId="0" borderId="14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00" fillId="0" borderId="14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02" fillId="0" borderId="14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04" fillId="0" borderId="14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06" fillId="0" borderId="14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08" fillId="0" borderId="14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10" fillId="0" borderId="14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12" fillId="0" borderId="14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14" fillId="0" borderId="14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16" fillId="0" borderId="14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18" fillId="0" borderId="14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20" fillId="0" borderId="14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22" fillId="0" borderId="141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1724" fillId="0" borderId="14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726" fillId="0" borderId="14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1728" fillId="0" borderId="14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730" fillId="0" borderId="14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32" fillId="0" borderId="14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34" fillId="0" borderId="14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36" fillId="0" borderId="14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38" fillId="0" borderId="14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40" fillId="0" borderId="14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42" fillId="0" borderId="14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44" fillId="0" borderId="14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46" fillId="0" borderId="14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48" fillId="0" borderId="14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50" fillId="0" borderId="14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52" fillId="0" borderId="14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54" fillId="0" borderId="14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56" fillId="0" borderId="14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58" fillId="0" borderId="14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60" fillId="0" borderId="14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62" fillId="0" borderId="141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1764" fillId="0" borderId="14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766" fillId="0" borderId="14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1768" fillId="0" borderId="14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770" fillId="0" borderId="14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72" fillId="0" borderId="14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74" fillId="0" borderId="14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76" fillId="0" borderId="14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78" fillId="0" borderId="14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80" fillId="0" borderId="14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82" fillId="0" borderId="14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84" fillId="0" borderId="14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86" fillId="0" borderId="14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88" fillId="0" borderId="14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90" fillId="0" borderId="14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92" fillId="0" borderId="14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94" fillId="0" borderId="14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96" fillId="0" borderId="14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98" fillId="0" borderId="14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00" fillId="0" borderId="14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02" fillId="356" borderId="14157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1804" fillId="357" borderId="14158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806" fillId="358" borderId="14159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1808" fillId="359" borderId="14160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10" fillId="0" borderId="14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12" fillId="0" borderId="14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14" fillId="0" borderId="14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16" fillId="0" borderId="14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18" fillId="0" borderId="14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20" fillId="0" borderId="14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22" fillId="0" borderId="14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24" fillId="0" borderId="14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26" fillId="0" borderId="14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28" fillId="0" borderId="14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30" fillId="0" borderId="14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32" fillId="0" borderId="14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34" fillId="0" borderId="14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36" fillId="0" borderId="14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38" fillId="0" borderId="14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40" fillId="0" borderId="14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42" fillId="0" borderId="14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44" fillId="0" borderId="14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46" fillId="0" borderId="14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48" fillId="0" borderId="14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50" fillId="0" borderId="14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52" fillId="0" borderId="14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54" fillId="0" borderId="14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56" fillId="0" borderId="14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58" fillId="0" borderId="14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60" fillId="0" borderId="14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62" fillId="0" borderId="14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64" fillId="0" borderId="14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66" fillId="0" borderId="14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68" fillId="0" borderId="14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70" fillId="0" borderId="14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72" fillId="0" borderId="14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74" fillId="0" borderId="14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76" fillId="0" borderId="14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78" fillId="0" borderId="14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80" fillId="0" borderId="14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82" fillId="0" borderId="14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84" fillId="0" borderId="14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86" fillId="0" borderId="14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88" fillId="0" borderId="14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90" fillId="0" borderId="14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92" fillId="0" borderId="14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94" fillId="0" borderId="14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96" fillId="0" borderId="14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98" fillId="0" borderId="14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00" fillId="0" borderId="14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02" fillId="0" borderId="14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04" fillId="0" borderId="14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06" fillId="0" borderId="14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08" fillId="0" borderId="14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10" fillId="0" borderId="14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12" fillId="0" borderId="14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14" fillId="0" borderId="14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16" fillId="0" borderId="14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18" fillId="0" borderId="14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20" fillId="0" borderId="14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4217" xfId="0"/>
    <xf numFmtId="0" fontId="21922" fillId="0" borderId="14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24" fillId="0" borderId="14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26" fillId="0" borderId="14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28" fillId="0" borderId="14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30" fillId="0" borderId="14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32" fillId="0" borderId="14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34" fillId="0" borderId="14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36" fillId="0" borderId="14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38" fillId="0" borderId="14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40" fillId="0" borderId="14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42" fillId="0" borderId="14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44" fillId="0" borderId="14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46" fillId="0" borderId="14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48" fillId="0" borderId="14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50" fillId="0" borderId="14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52" fillId="0" borderId="14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54" fillId="0" borderId="14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56" fillId="0" borderId="14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58" fillId="0" borderId="14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60" fillId="0" borderId="14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62" fillId="0" borderId="14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64" fillId="0" borderId="14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66" fillId="0" borderId="14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68" fillId="0" borderId="14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70" fillId="0" borderId="14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72" fillId="0" borderId="14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74" fillId="0" borderId="14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76" fillId="0" borderId="14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78" fillId="0" borderId="14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80" fillId="0" borderId="14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82" fillId="0" borderId="14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84" fillId="0" borderId="14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86" fillId="0" borderId="14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88" fillId="0" borderId="14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90" fillId="0" borderId="14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92" fillId="0" borderId="14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94" fillId="0" borderId="14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96" fillId="0" borderId="14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98" fillId="0" borderId="14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00" fillId="0" borderId="14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02" fillId="0" borderId="142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004" fillId="0" borderId="14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06" fillId="0" borderId="14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08" fillId="0" borderId="14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10" fillId="0" borderId="14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12" fillId="0" borderId="14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14" fillId="0" borderId="14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16" fillId="0" borderId="14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18" fillId="0" borderId="14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20" fillId="0" borderId="14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22" fillId="0" borderId="14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24" fillId="0" borderId="14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26" fillId="0" borderId="14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28" fillId="0" borderId="14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30" fillId="0" borderId="14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32" fillId="0" borderId="14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34" fillId="0" borderId="14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36" fillId="0" borderId="14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38" fillId="0" borderId="14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40" fillId="0" borderId="14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42" fillId="0" borderId="142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2044" fillId="0" borderId="14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046" fillId="0" borderId="142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048" fillId="0" borderId="14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050" fillId="0" borderId="14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52" fillId="0" borderId="14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54" fillId="0" borderId="14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56" fillId="0" borderId="14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58" fillId="0" borderId="14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60" fillId="0" borderId="14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62" fillId="0" borderId="14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64" fillId="0" borderId="14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66" fillId="0" borderId="14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68" fillId="0" borderId="14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70" fillId="0" borderId="14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72" fillId="0" borderId="14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74" fillId="0" borderId="14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76" fillId="0" borderId="14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78" fillId="0" borderId="14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80" fillId="0" borderId="14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82" fillId="0" borderId="142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2084" fillId="0" borderId="142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086" fillId="0" borderId="143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088" fillId="0" borderId="14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090" fillId="0" borderId="14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92" fillId="0" borderId="14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94" fillId="0" borderId="14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96" fillId="0" borderId="14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98" fillId="0" borderId="14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00" fillId="0" borderId="14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02" fillId="0" borderId="14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04" fillId="0" borderId="14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06" fillId="0" borderId="14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08" fillId="0" borderId="14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10" fillId="0" borderId="14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12" fillId="0" borderId="14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14" fillId="0" borderId="14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16" fillId="0" borderId="14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18" fillId="0" borderId="14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20" fillId="0" borderId="14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22" fillId="0" borderId="143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2124" fillId="0" borderId="14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126" fillId="0" borderId="143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128" fillId="0" borderId="14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30" fillId="0" borderId="14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32" fillId="0" borderId="14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34" fillId="0" borderId="14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36" fillId="0" borderId="14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38" fillId="0" borderId="14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40" fillId="0" borderId="14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42" fillId="0" borderId="14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44" fillId="0" borderId="14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46" fillId="0" borderId="14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48" fillId="0" borderId="14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50" fillId="0" borderId="14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52" fillId="0" borderId="14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54" fillId="0" borderId="14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56" fillId="0" borderId="14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58" fillId="0" borderId="14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60" fillId="0" borderId="14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62" fillId="0" borderId="143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2164" fillId="0" borderId="14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166" fillId="0" borderId="14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168" fillId="0" borderId="14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70" fillId="0" borderId="14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72" fillId="0" borderId="14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74" fillId="0" borderId="14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76" fillId="0" borderId="14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78" fillId="0" borderId="14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80" fillId="0" borderId="14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82" fillId="0" borderId="14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84" fillId="0" borderId="14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86" fillId="0" borderId="14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88" fillId="0" borderId="14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90" fillId="0" borderId="14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92" fillId="0" borderId="14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94" fillId="0" borderId="14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96" fillId="0" borderId="14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98" fillId="0" borderId="14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00" fillId="0" borderId="14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02" fillId="0" borderId="143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2204" fillId="0" borderId="14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206" fillId="0" borderId="14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208" fillId="0" borderId="143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10" fillId="0" borderId="14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12" fillId="0" borderId="14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14" fillId="0" borderId="14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16" fillId="0" borderId="14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18" fillId="0" borderId="14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20" fillId="0" borderId="14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22" fillId="0" borderId="14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24" fillId="0" borderId="14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26" fillId="0" borderId="14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28" fillId="0" borderId="14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30" fillId="0" borderId="14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32" fillId="0" borderId="14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34" fillId="0" borderId="14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36" fillId="0" borderId="14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38" fillId="0" borderId="14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40" fillId="0" borderId="14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42" fillId="0" borderId="143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2244" fillId="0" borderId="14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246" fillId="0" borderId="14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248" fillId="0" borderId="14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50" fillId="0" borderId="14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52" fillId="0" borderId="14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54" fillId="0" borderId="14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56" fillId="0" borderId="14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58" fillId="0" borderId="14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60" fillId="0" borderId="14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62" fillId="0" borderId="14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64" fillId="0" borderId="14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66" fillId="0" borderId="14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68" fillId="0" borderId="14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70" fillId="0" borderId="14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72" fillId="0" borderId="14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74" fillId="0" borderId="14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76" fillId="0" borderId="14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78" fillId="0" borderId="14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80" fillId="0" borderId="14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82" fillId="0" borderId="143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2284" fillId="0" borderId="14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286" fillId="0" borderId="14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288" fillId="0" borderId="14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90" fillId="0" borderId="14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92" fillId="0" borderId="14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94" fillId="0" borderId="14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96" fillId="0" borderId="14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98" fillId="0" borderId="14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00" fillId="0" borderId="14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02" fillId="0" borderId="14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04" fillId="0" borderId="14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06" fillId="0" borderId="14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08" fillId="0" borderId="14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10" fillId="0" borderId="14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12" fillId="0" borderId="14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14" fillId="0" borderId="14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16" fillId="0" borderId="14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18" fillId="0" borderId="14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20" fillId="0" borderId="14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22" fillId="0" borderId="144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2324" fillId="0" borderId="14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326" fillId="0" borderId="14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328" fillId="0" borderId="14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30" fillId="0" borderId="14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32" fillId="0" borderId="14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34" fillId="0" borderId="14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36" fillId="0" borderId="14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38" fillId="0" borderId="14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40" fillId="0" borderId="14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42" fillId="0" borderId="14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44" fillId="0" borderId="14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46" fillId="0" borderId="14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48" fillId="0" borderId="14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50" fillId="0" borderId="14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52" fillId="0" borderId="14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54" fillId="0" borderId="14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56" fillId="0" borderId="14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58" fillId="0" borderId="14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60" fillId="0" borderId="14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62" fillId="0" borderId="144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2364" fillId="0" borderId="14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366" fillId="0" borderId="14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368" fillId="0" borderId="14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70" fillId="0" borderId="14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72" fillId="0" borderId="14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74" fillId="0" borderId="14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76" fillId="0" borderId="14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78" fillId="0" borderId="14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80" fillId="0" borderId="14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82" fillId="0" borderId="14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84" fillId="0" borderId="14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86" fillId="0" borderId="14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88" fillId="0" borderId="14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90" fillId="0" borderId="14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92" fillId="0" borderId="14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94" fillId="0" borderId="14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96" fillId="0" borderId="14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98" fillId="0" borderId="14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00" fillId="0" borderId="14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02" fillId="0" borderId="144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2404" fillId="0" borderId="14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406" fillId="0" borderId="144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408" fillId="0" borderId="14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10" fillId="0" borderId="14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12" fillId="0" borderId="14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14" fillId="0" borderId="14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16" fillId="0" borderId="14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18" fillId="0" borderId="14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20" fillId="0" borderId="14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22" fillId="0" borderId="14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24" fillId="0" borderId="14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26" fillId="0" borderId="14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28" fillId="0" borderId="14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30" fillId="0" borderId="14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32" fillId="0" borderId="14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34" fillId="0" borderId="14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36" fillId="0" borderId="14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38" fillId="0" borderId="14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40" fillId="0" borderId="14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42" fillId="0" borderId="144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2444" fillId="0" borderId="14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446" fillId="0" borderId="14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448" fillId="0" borderId="14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50" fillId="0" borderId="14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52" fillId="0" borderId="14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54" fillId="0" borderId="14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56" fillId="0" borderId="14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58" fillId="0" borderId="14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60" fillId="0" borderId="14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62" fillId="0" borderId="14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64" fillId="0" borderId="14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66" fillId="0" borderId="14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68" fillId="0" borderId="14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70" fillId="0" borderId="14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72" fillId="0" borderId="14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74" fillId="0" borderId="14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76" fillId="0" borderId="14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78" fillId="0" borderId="14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80" fillId="0" borderId="14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82" fillId="0" borderId="144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2484" fillId="0" borderId="14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486" fillId="0" borderId="14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488" fillId="0" borderId="14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90" fillId="0" borderId="14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92" fillId="0" borderId="14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94" fillId="0" borderId="14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96" fillId="0" borderId="14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98" fillId="0" borderId="14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00" fillId="0" borderId="14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02" fillId="0" borderId="14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04" fillId="0" borderId="14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06" fillId="0" borderId="14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08" fillId="0" borderId="14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10" fillId="0" borderId="14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12" fillId="0" borderId="14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14" fillId="0" borderId="14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16" fillId="0" borderId="14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18" fillId="0" borderId="14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20" fillId="0" borderId="14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22" fillId="0" borderId="145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2524" fillId="0" borderId="14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526" fillId="0" borderId="145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528" fillId="0" borderId="14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30" fillId="0" borderId="14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32" fillId="0" borderId="14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34" fillId="0" borderId="14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36" fillId="0" borderId="14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38" fillId="0" borderId="14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40" fillId="0" borderId="14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42" fillId="0" borderId="14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44" fillId="0" borderId="14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46" fillId="0" borderId="14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48" fillId="0" borderId="14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50" fillId="0" borderId="14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52" fillId="0" borderId="14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54" fillId="0" borderId="14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56" fillId="0" borderId="14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58" fillId="0" borderId="14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60" fillId="0" borderId="14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62" fillId="0" borderId="145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2564" fillId="0" borderId="145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566" fillId="0" borderId="14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568" fillId="0" borderId="14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70" fillId="0" borderId="14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72" fillId="0" borderId="14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74" fillId="0" borderId="14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76" fillId="0" borderId="14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78" fillId="0" borderId="14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80" fillId="0" borderId="14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82" fillId="0" borderId="14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84" fillId="0" borderId="14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86" fillId="0" borderId="14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88" fillId="0" borderId="14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90" fillId="0" borderId="14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92" fillId="0" borderId="14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94" fillId="0" borderId="14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96" fillId="0" borderId="14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98" fillId="0" borderId="14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00" fillId="0" borderId="14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02" fillId="360" borderId="14558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2604" fillId="361" borderId="14559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606" fillId="362" borderId="14560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608" fillId="363" borderId="14561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610" fillId="0" borderId="14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12" fillId="0" borderId="14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14" fillId="0" borderId="14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16" fillId="0" borderId="14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18" fillId="0" borderId="14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20" fillId="0" borderId="14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22" fillId="0" borderId="14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24" fillId="0" borderId="14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26" fillId="0" borderId="14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28" fillId="0" borderId="14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30" fillId="0" borderId="14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32" fillId="0" borderId="14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34" fillId="0" borderId="14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36" fillId="0" borderId="14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38" fillId="0" borderId="14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40" fillId="0" borderId="14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42" fillId="0" borderId="14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44" fillId="0" borderId="14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46" fillId="0" borderId="14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48" fillId="0" borderId="14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50" fillId="0" borderId="14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52" fillId="0" borderId="14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54" fillId="0" borderId="14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56" fillId="0" borderId="14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58" fillId="0" borderId="14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60" fillId="0" borderId="14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62" fillId="0" borderId="14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64" fillId="0" borderId="14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66" fillId="0" borderId="14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68" fillId="0" borderId="14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70" fillId="0" borderId="14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72" fillId="0" borderId="14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74" fillId="0" borderId="14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76" fillId="0" borderId="14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78" fillId="0" borderId="14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80" fillId="0" borderId="14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82" fillId="0" borderId="14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84" fillId="0" borderId="14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86" fillId="0" borderId="14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88" fillId="0" borderId="14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90" fillId="0" borderId="14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92" fillId="0" borderId="14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94" fillId="0" borderId="14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96" fillId="0" borderId="14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98" fillId="0" borderId="14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00" fillId="0" borderId="14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02" fillId="0" borderId="14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04" fillId="0" borderId="14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06" fillId="0" borderId="14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08" fillId="0" borderId="14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10" fillId="0" borderId="14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12" fillId="0" borderId="14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14" fillId="0" borderId="14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16" fillId="0" borderId="14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18" fillId="0" borderId="14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20" fillId="0" borderId="14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4618" xfId="0"/>
    <xf numFmtId="0" fontId="22722" fillId="0" borderId="14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24" fillId="0" borderId="14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26" fillId="0" borderId="14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28" fillId="0" borderId="14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30" fillId="0" borderId="14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32" fillId="0" borderId="14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34" fillId="0" borderId="14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36" fillId="0" borderId="14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38" fillId="0" borderId="14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40" fillId="0" borderId="14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42" fillId="0" borderId="14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44" fillId="0" borderId="14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46" fillId="0" borderId="14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48" fillId="0" borderId="14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50" fillId="0" borderId="14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52" fillId="0" borderId="14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54" fillId="0" borderId="14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56" fillId="0" borderId="14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58" fillId="0" borderId="14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60" fillId="0" borderId="14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62" fillId="0" borderId="14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64" fillId="0" borderId="146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766" fillId="0" borderId="14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768" fillId="0" borderId="14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770" fillId="0" borderId="14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72" fillId="0" borderId="14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74" fillId="0" borderId="14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76" fillId="0" borderId="14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78" fillId="0" borderId="14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80" fillId="0" borderId="14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82" fillId="0" borderId="14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84" fillId="0" borderId="14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86" fillId="0" borderId="14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88" fillId="0" borderId="14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90" fillId="0" borderId="14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92" fillId="0" borderId="14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94" fillId="0" borderId="14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96" fillId="0" borderId="14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98" fillId="0" borderId="14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00" fillId="0" borderId="14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02" fillId="0" borderId="146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804" fillId="0" borderId="14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06" fillId="0" borderId="14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08" fillId="0" borderId="14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10" fillId="0" borderId="14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12" fillId="0" borderId="14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14" fillId="0" borderId="14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16" fillId="0" borderId="14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18" fillId="0" borderId="14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20" fillId="0" borderId="14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22" fillId="0" borderId="14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24" fillId="0" borderId="14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26" fillId="0" borderId="14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28" fillId="0" borderId="14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30" fillId="0" borderId="14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32" fillId="0" borderId="14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34" fillId="0" borderId="14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36" fillId="0" borderId="14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38" fillId="0" borderId="14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40" fillId="0" borderId="14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42" fillId="0" borderId="146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2844" fillId="0" borderId="146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846" fillId="0" borderId="146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848" fillId="0" borderId="146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50" fillId="0" borderId="14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52" fillId="0" borderId="14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54" fillId="0" borderId="14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56" fillId="0" borderId="14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58" fillId="0" borderId="14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60" fillId="0" borderId="14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62" fillId="0" borderId="14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64" fillId="0" borderId="14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66" fillId="0" borderId="14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68" fillId="0" borderId="14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70" fillId="0" borderId="14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72" fillId="0" borderId="14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74" fillId="0" borderId="14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76" fillId="0" borderId="14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78" fillId="0" borderId="14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80" fillId="0" borderId="14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82" fillId="0" borderId="146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2884" fillId="0" borderId="14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886" fillId="0" borderId="147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888" fillId="0" borderId="147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90" fillId="0" borderId="14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92" fillId="0" borderId="14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94" fillId="0" borderId="14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96" fillId="0" borderId="14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98" fillId="0" borderId="14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00" fillId="0" borderId="14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02" fillId="0" borderId="14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04" fillId="0" borderId="14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06" fillId="0" borderId="14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08" fillId="0" borderId="14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10" fillId="0" borderId="14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12" fillId="0" borderId="14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14" fillId="0" borderId="14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16" fillId="0" borderId="14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18" fillId="0" borderId="14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20" fillId="0" borderId="14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22" fillId="0" borderId="147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2924" fillId="0" borderId="14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926" fillId="0" borderId="14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928" fillId="0" borderId="147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30" fillId="0" borderId="14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32" fillId="0" borderId="14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34" fillId="0" borderId="14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36" fillId="0" borderId="14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38" fillId="0" borderId="14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40" fillId="0" borderId="14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42" fillId="0" borderId="14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44" fillId="0" borderId="14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46" fillId="0" borderId="14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48" fillId="0" borderId="14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50" fillId="0" borderId="14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52" fillId="0" borderId="14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54" fillId="0" borderId="14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56" fillId="0" borderId="14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58" fillId="0" borderId="14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60" fillId="0" borderId="14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62" fillId="0" borderId="147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2964" fillId="0" borderId="147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966" fillId="0" borderId="14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968" fillId="0" borderId="147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70" fillId="0" borderId="14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72" fillId="0" borderId="14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74" fillId="0" borderId="14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76" fillId="0" borderId="14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78" fillId="0" borderId="14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80" fillId="0" borderId="14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82" fillId="0" borderId="14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84" fillId="0" borderId="14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86" fillId="0" borderId="14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88" fillId="0" borderId="14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90" fillId="0" borderId="14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92" fillId="0" borderId="14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94" fillId="0" borderId="14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96" fillId="0" borderId="14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98" fillId="0" borderId="14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00" fillId="0" borderId="14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02" fillId="0" borderId="147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3004" fillId="0" borderId="14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006" fillId="0" borderId="14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008" fillId="0" borderId="147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10" fillId="0" borderId="14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12" fillId="0" borderId="14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14" fillId="0" borderId="14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16" fillId="0" borderId="14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18" fillId="0" borderId="14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20" fillId="0" borderId="14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22" fillId="0" borderId="14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24" fillId="0" borderId="14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26" fillId="0" borderId="14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28" fillId="0" borderId="14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30" fillId="0" borderId="14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32" fillId="0" borderId="14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34" fillId="0" borderId="14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36" fillId="0" borderId="14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38" fillId="0" borderId="14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40" fillId="0" borderId="14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42" fillId="0" borderId="147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3044" fillId="0" borderId="14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046" fillId="0" borderId="14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048" fillId="0" borderId="147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50" fillId="0" borderId="14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52" fillId="0" borderId="14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54" fillId="0" borderId="14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56" fillId="0" borderId="14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58" fillId="0" borderId="14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60" fillId="0" borderId="14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62" fillId="0" borderId="14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64" fillId="0" borderId="14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66" fillId="0" borderId="14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68" fillId="0" borderId="14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70" fillId="0" borderId="14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72" fillId="0" borderId="14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74" fillId="0" borderId="14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76" fillId="0" borderId="14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78" fillId="0" borderId="14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80" fillId="0" borderId="14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82" fillId="0" borderId="147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3084" fillId="0" borderId="148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086" fillId="0" borderId="14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088" fillId="0" borderId="148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90" fillId="0" borderId="14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92" fillId="0" borderId="14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94" fillId="0" borderId="14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96" fillId="0" borderId="14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98" fillId="0" borderId="14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00" fillId="0" borderId="14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02" fillId="0" borderId="14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04" fillId="0" borderId="14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06" fillId="0" borderId="14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08" fillId="0" borderId="14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10" fillId="0" borderId="14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12" fillId="0" borderId="14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14" fillId="0" borderId="14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16" fillId="0" borderId="14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18" fillId="0" borderId="14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20" fillId="0" borderId="14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22" fillId="0" borderId="148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3124" fillId="0" borderId="14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126" fillId="0" borderId="14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128" fillId="0" borderId="14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30" fillId="0" borderId="14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32" fillId="0" borderId="14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34" fillId="0" borderId="14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36" fillId="0" borderId="14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38" fillId="0" borderId="14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40" fillId="0" borderId="14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42" fillId="0" borderId="14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44" fillId="0" borderId="14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46" fillId="0" borderId="14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48" fillId="0" borderId="14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50" fillId="0" borderId="14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52" fillId="0" borderId="14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54" fillId="0" borderId="14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56" fillId="0" borderId="14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58" fillId="0" borderId="14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60" fillId="0" borderId="14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62" fillId="0" borderId="148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3164" fillId="0" borderId="148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166" fillId="0" borderId="14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168" fillId="0" borderId="148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70" fillId="0" borderId="14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72" fillId="0" borderId="14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74" fillId="0" borderId="14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76" fillId="0" borderId="14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78" fillId="0" borderId="14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80" fillId="0" borderId="14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82" fillId="0" borderId="14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84" fillId="0" borderId="14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86" fillId="0" borderId="14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88" fillId="0" borderId="14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90" fillId="0" borderId="14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92" fillId="0" borderId="14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94" fillId="0" borderId="14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96" fillId="0" borderId="14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98" fillId="0" borderId="14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00" fillId="0" borderId="14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02" fillId="0" borderId="148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3204" fillId="0" borderId="148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206" fillId="0" borderId="14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208" fillId="0" borderId="148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10" fillId="0" borderId="14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12" fillId="0" borderId="14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14" fillId="0" borderId="14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16" fillId="0" borderId="14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18" fillId="0" borderId="14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20" fillId="0" borderId="14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22" fillId="0" borderId="14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24" fillId="0" borderId="14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26" fillId="0" borderId="14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28" fillId="0" borderId="14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30" fillId="0" borderId="14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32" fillId="0" borderId="14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34" fillId="0" borderId="14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36" fillId="0" borderId="14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38" fillId="0" borderId="14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40" fillId="0" borderId="14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42" fillId="0" borderId="148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3244" fillId="0" borderId="148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246" fillId="0" borderId="148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248" fillId="0" borderId="14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50" fillId="0" borderId="14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52" fillId="0" borderId="14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54" fillId="0" borderId="14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56" fillId="0" borderId="14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58" fillId="0" borderId="14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60" fillId="0" borderId="14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62" fillId="0" borderId="14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64" fillId="0" borderId="14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66" fillId="0" borderId="14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68" fillId="0" borderId="14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70" fillId="0" borderId="14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72" fillId="0" borderId="14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74" fillId="0" borderId="14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76" fillId="0" borderId="14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78" fillId="0" borderId="14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80" fillId="0" borderId="14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82" fillId="0" borderId="148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3284" fillId="0" borderId="14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286" fillId="0" borderId="14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288" fillId="0" borderId="149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90" fillId="0" borderId="14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92" fillId="0" borderId="14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94" fillId="0" borderId="14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96" fillId="0" borderId="14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98" fillId="0" borderId="14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00" fillId="0" borderId="14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02" fillId="0" borderId="14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04" fillId="0" borderId="14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06" fillId="0" borderId="14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08" fillId="0" borderId="14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10" fillId="0" borderId="14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12" fillId="0" borderId="14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14" fillId="0" borderId="14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16" fillId="0" borderId="14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18" fillId="0" borderId="14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20" fillId="0" borderId="14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22" fillId="0" borderId="149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3324" fillId="0" borderId="149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326" fillId="0" borderId="14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328" fillId="0" borderId="149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330" fillId="0" borderId="14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32" fillId="0" borderId="14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34" fillId="0" borderId="14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36" fillId="0" borderId="14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38" fillId="0" borderId="14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40" fillId="0" borderId="14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42" fillId="0" borderId="14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44" fillId="0" borderId="14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46" fillId="0" borderId="14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48" fillId="0" borderId="14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50" fillId="0" borderId="14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52" fillId="0" borderId="14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54" fillId="0" borderId="14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56" fillId="0" borderId="14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58" fillId="0" borderId="14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60" fillId="0" borderId="14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62" fillId="0" borderId="149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3364" fillId="0" borderId="149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366" fillId="0" borderId="149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368" fillId="0" borderId="149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370" fillId="0" borderId="14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72" fillId="0" borderId="14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74" fillId="0" borderId="14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76" fillId="0" borderId="14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78" fillId="0" borderId="14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80" fillId="0" borderId="14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82" fillId="0" borderId="14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84" fillId="0" borderId="14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86" fillId="0" borderId="14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88" fillId="0" borderId="14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90" fillId="0" borderId="14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92" fillId="0" borderId="14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94" fillId="0" borderId="14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96" fillId="0" borderId="14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98" fillId="0" borderId="14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00" fillId="0" borderId="14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02" fillId="364" borderId="14959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3404" fillId="365" borderId="14960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406" fillId="366" borderId="14961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408" fillId="367" borderId="14962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410" fillId="0" borderId="14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12" fillId="0" borderId="14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14" fillId="0" borderId="14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16" fillId="0" borderId="14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18" fillId="0" borderId="14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20" fillId="0" borderId="14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22" fillId="0" borderId="14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24" fillId="0" borderId="14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26" fillId="0" borderId="14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28" fillId="0" borderId="14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30" fillId="0" borderId="14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32" fillId="0" borderId="14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34" fillId="0" borderId="14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36" fillId="0" borderId="14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38" fillId="0" borderId="14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40" fillId="0" borderId="14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42" fillId="0" borderId="14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44" fillId="0" borderId="14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46" fillId="0" borderId="14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48" fillId="0" borderId="14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50" fillId="0" borderId="14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52" fillId="0" borderId="14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54" fillId="0" borderId="14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56" fillId="0" borderId="14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58" fillId="0" borderId="14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60" fillId="0" borderId="14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62" fillId="0" borderId="14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64" fillId="0" borderId="14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66" fillId="0" borderId="14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68" fillId="0" borderId="14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70" fillId="0" borderId="14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72" fillId="0" borderId="14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74" fillId="0" borderId="14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76" fillId="0" borderId="14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78" fillId="0" borderId="14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80" fillId="0" borderId="14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82" fillId="0" borderId="14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84" fillId="0" borderId="15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86" fillId="0" borderId="15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88" fillId="0" borderId="15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90" fillId="0" borderId="15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92" fillId="0" borderId="15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94" fillId="0" borderId="15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96" fillId="0" borderId="15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98" fillId="0" borderId="15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00" fillId="0" borderId="15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02" fillId="0" borderId="15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04" fillId="0" borderId="15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06" fillId="0" borderId="15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08" fillId="0" borderId="15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10" fillId="0" borderId="15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12" fillId="0" borderId="15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14" fillId="0" borderId="15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16" fillId="0" borderId="15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18" fillId="0" borderId="15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20" fillId="0" borderId="15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5019" xfId="0"/>
    <xf numFmtId="0" fontId="23522" fillId="0" borderId="15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24" fillId="0" borderId="15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26" fillId="0" borderId="15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28" fillId="0" borderId="15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30" fillId="0" borderId="15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32" fillId="0" borderId="15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34" fillId="0" borderId="15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36" fillId="0" borderId="15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38" fillId="0" borderId="15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40" fillId="0" borderId="15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42" fillId="0" borderId="15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44" fillId="0" borderId="15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46" fillId="0" borderId="15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48" fillId="0" borderId="15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50" fillId="0" borderId="15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52" fillId="0" borderId="15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54" fillId="0" borderId="15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56" fillId="0" borderId="15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58" fillId="0" borderId="15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60" fillId="0" borderId="15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62" fillId="0" borderId="15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64" fillId="0" borderId="15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66" fillId="0" borderId="150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68" fillId="0" borderId="150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70" fillId="0" borderId="15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72" fillId="0" borderId="15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74" fillId="0" borderId="15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76" fillId="0" borderId="15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78" fillId="0" borderId="15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80" fillId="0" borderId="15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82" fillId="0" borderId="15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84" fillId="0" borderId="15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86" fillId="0" borderId="15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88" fillId="0" borderId="15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90" fillId="0" borderId="15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92" fillId="0" borderId="15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94" fillId="0" borderId="15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96" fillId="0" borderId="15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98" fillId="0" borderId="15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00" fillId="0" borderId="15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02" fillId="0" borderId="150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604" fillId="0" borderId="15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06" fillId="0" borderId="15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08" fillId="0" borderId="15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10" fillId="0" borderId="15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12" fillId="0" borderId="15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14" fillId="0" borderId="15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16" fillId="0" borderId="15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18" fillId="0" borderId="15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20" fillId="0" borderId="15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22" fillId="0" borderId="15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24" fillId="0" borderId="15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26" fillId="0" borderId="15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28" fillId="0" borderId="15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30" fillId="0" borderId="15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32" fillId="0" borderId="15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34" fillId="0" borderId="15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36" fillId="0" borderId="15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38" fillId="0" borderId="15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40" fillId="0" borderId="15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42" fillId="0" borderId="150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3644" fillId="0" borderId="150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646" fillId="0" borderId="150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648" fillId="0" borderId="150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50" fillId="0" borderId="15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52" fillId="0" borderId="15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54" fillId="0" borderId="15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56" fillId="0" borderId="15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58" fillId="0" borderId="15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60" fillId="0" borderId="15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62" fillId="0" borderId="15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64" fillId="0" borderId="15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66" fillId="0" borderId="15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68" fillId="0" borderId="15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70" fillId="0" borderId="15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72" fillId="0" borderId="15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74" fillId="0" borderId="15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76" fillId="0" borderId="15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78" fillId="0" borderId="15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80" fillId="0" borderId="15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82" fillId="0" borderId="151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3684" fillId="0" borderId="15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686" fillId="0" borderId="15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688" fillId="0" borderId="15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90" fillId="0" borderId="15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92" fillId="0" borderId="15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94" fillId="0" borderId="15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96" fillId="0" borderId="15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98" fillId="0" borderId="15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00" fillId="0" borderId="15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02" fillId="0" borderId="15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04" fillId="0" borderId="15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06" fillId="0" borderId="15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08" fillId="0" borderId="15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10" fillId="0" borderId="15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12" fillId="0" borderId="15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14" fillId="0" borderId="15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16" fillId="0" borderId="15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18" fillId="0" borderId="15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20" fillId="0" borderId="15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22" fillId="0" borderId="151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3724" fillId="0" borderId="15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726" fillId="0" borderId="15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728" fillId="0" borderId="15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730" fillId="0" borderId="15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32" fillId="0" borderId="15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34" fillId="0" borderId="15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36" fillId="0" borderId="15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38" fillId="0" borderId="15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40" fillId="0" borderId="15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42" fillId="0" borderId="15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44" fillId="0" borderId="15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46" fillId="0" borderId="15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48" fillId="0" borderId="15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50" fillId="0" borderId="15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52" fillId="0" borderId="15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54" fillId="0" borderId="15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56" fillId="0" borderId="15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58" fillId="0" borderId="15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60" fillId="0" borderId="15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62" fillId="0" borderId="151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3764" fillId="0" borderId="15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766" fillId="0" borderId="15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768" fillId="0" borderId="15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770" fillId="0" borderId="15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72" fillId="0" borderId="15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74" fillId="0" borderId="15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76" fillId="0" borderId="15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78" fillId="0" borderId="15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80" fillId="0" borderId="15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82" fillId="0" borderId="15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84" fillId="0" borderId="15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86" fillId="0" borderId="15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88" fillId="0" borderId="15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90" fillId="0" borderId="15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92" fillId="0" borderId="15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94" fillId="0" borderId="15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96" fillId="0" borderId="15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98" fillId="0" borderId="15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00" fillId="0" borderId="15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02" fillId="0" borderId="151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3804" fillId="0" borderId="15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806" fillId="0" borderId="15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808" fillId="0" borderId="15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810" fillId="0" borderId="15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12" fillId="0" borderId="15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14" fillId="0" borderId="15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16" fillId="0" borderId="15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18" fillId="0" borderId="15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20" fillId="0" borderId="15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22" fillId="0" borderId="15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24" fillId="0" borderId="15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26" fillId="0" borderId="15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28" fillId="0" borderId="15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30" fillId="0" borderId="15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32" fillId="0" borderId="15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34" fillId="0" borderId="15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36" fillId="0" borderId="15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38" fillId="0" borderId="15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40" fillId="0" borderId="15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42" fillId="0" borderId="151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3844" fillId="0" borderId="15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846" fillId="0" borderId="15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848" fillId="0" borderId="15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850" fillId="0" borderId="15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52" fillId="0" borderId="15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54" fillId="0" borderId="15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56" fillId="0" borderId="15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58" fillId="0" borderId="15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60" fillId="0" borderId="15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62" fillId="0" borderId="15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64" fillId="0" borderId="15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66" fillId="0" borderId="15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68" fillId="0" borderId="15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70" fillId="0" borderId="15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72" fillId="0" borderId="15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74" fillId="0" borderId="15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76" fillId="0" borderId="15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78" fillId="0" borderId="15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80" fillId="0" borderId="15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82" fillId="0" borderId="152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3884" fillId="0" borderId="15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886" fillId="0" borderId="15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888" fillId="0" borderId="15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890" fillId="0" borderId="15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92" fillId="0" borderId="15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94" fillId="0" borderId="15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96" fillId="0" borderId="15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98" fillId="0" borderId="15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00" fillId="0" borderId="15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02" fillId="0" borderId="15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04" fillId="0" borderId="15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06" fillId="0" borderId="15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08" fillId="0" borderId="15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10" fillId="0" borderId="15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12" fillId="0" borderId="15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14" fillId="0" borderId="15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16" fillId="0" borderId="15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18" fillId="0" borderId="15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20" fillId="0" borderId="15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22" fillId="0" borderId="152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3924" fillId="0" borderId="15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926" fillId="0" borderId="15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928" fillId="0" borderId="15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930" fillId="0" borderId="15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32" fillId="0" borderId="15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34" fillId="0" borderId="15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36" fillId="0" borderId="15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38" fillId="0" borderId="15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40" fillId="0" borderId="15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42" fillId="0" borderId="15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44" fillId="0" borderId="15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46" fillId="0" borderId="15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48" fillId="0" borderId="15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50" fillId="0" borderId="15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52" fillId="0" borderId="15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54" fillId="0" borderId="15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56" fillId="0" borderId="15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58" fillId="0" borderId="15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60" fillId="0" borderId="15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62" fillId="0" borderId="152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3964" fillId="0" borderId="15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966" fillId="0" borderId="152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968" fillId="0" borderId="15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970" fillId="0" borderId="15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72" fillId="0" borderId="15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74" fillId="0" borderId="15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76" fillId="0" borderId="15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78" fillId="0" borderId="15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80" fillId="0" borderId="15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82" fillId="0" borderId="15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84" fillId="0" borderId="15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86" fillId="0" borderId="15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88" fillId="0" borderId="15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90" fillId="0" borderId="15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92" fillId="0" borderId="15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94" fillId="0" borderId="15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96" fillId="0" borderId="15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98" fillId="0" borderId="15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00" fillId="0" borderId="15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02" fillId="0" borderId="152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4004" fillId="0" borderId="15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006" fillId="0" borderId="152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008" fillId="0" borderId="152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010" fillId="0" borderId="15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12" fillId="0" borderId="15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14" fillId="0" borderId="15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16" fillId="0" borderId="15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18" fillId="0" borderId="15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20" fillId="0" borderId="15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22" fillId="0" borderId="15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24" fillId="0" borderId="15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26" fillId="0" borderId="15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28" fillId="0" borderId="15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30" fillId="0" borderId="15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32" fillId="0" borderId="15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34" fillId="0" borderId="15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36" fillId="0" borderId="15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38" fillId="0" borderId="15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40" fillId="0" borderId="15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42" fillId="0" borderId="152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4044" fillId="0" borderId="15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046" fillId="0" borderId="15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048" fillId="0" borderId="15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050" fillId="0" borderId="15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52" fillId="0" borderId="15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54" fillId="0" borderId="15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56" fillId="0" borderId="15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58" fillId="0" borderId="15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60" fillId="0" borderId="15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62" fillId="0" borderId="15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64" fillId="0" borderId="15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66" fillId="0" borderId="15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68" fillId="0" borderId="15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70" fillId="0" borderId="15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72" fillId="0" borderId="15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74" fillId="0" borderId="15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76" fillId="0" borderId="15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78" fillId="0" borderId="15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80" fillId="0" borderId="15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82" fillId="0" borderId="153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4084" fillId="0" borderId="15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086" fillId="0" borderId="15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088" fillId="0" borderId="15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090" fillId="0" borderId="15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92" fillId="0" borderId="15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94" fillId="0" borderId="15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96" fillId="0" borderId="15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98" fillId="0" borderId="15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00" fillId="0" borderId="15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02" fillId="0" borderId="15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04" fillId="0" borderId="15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06" fillId="0" borderId="15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08" fillId="0" borderId="15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10" fillId="0" borderId="15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12" fillId="0" borderId="15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14" fillId="0" borderId="15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16" fillId="0" borderId="15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18" fillId="0" borderId="15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20" fillId="0" borderId="15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22" fillId="0" borderId="153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4124" fillId="0" borderId="15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126" fillId="0" borderId="15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128" fillId="0" borderId="15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130" fillId="0" borderId="15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32" fillId="0" borderId="15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34" fillId="0" borderId="15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36" fillId="0" borderId="15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38" fillId="0" borderId="15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40" fillId="0" borderId="15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42" fillId="0" borderId="15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44" fillId="0" borderId="15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46" fillId="0" borderId="15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48" fillId="0" borderId="15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50" fillId="0" borderId="15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52" fillId="0" borderId="15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54" fillId="0" borderId="15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56" fillId="0" borderId="15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58" fillId="0" borderId="15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60" fillId="0" borderId="15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62" fillId="0" borderId="153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4164" fillId="0" borderId="15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166" fillId="0" borderId="15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168" fillId="0" borderId="15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170" fillId="0" borderId="15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72" fillId="0" borderId="15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74" fillId="0" borderId="15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76" fillId="0" borderId="15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78" fillId="0" borderId="15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80" fillId="0" borderId="15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82" fillId="0" borderId="15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84" fillId="0" borderId="15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86" fillId="0" borderId="15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88" fillId="0" borderId="15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90" fillId="0" borderId="15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92" fillId="0" borderId="15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94" fillId="0" borderId="15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96" fillId="0" borderId="15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98" fillId="0" borderId="15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00" fillId="0" borderId="15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02" fillId="368" borderId="15360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4204" fillId="369" borderId="15361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206" fillId="370" borderId="15362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208" fillId="371" borderId="15363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210" fillId="0" borderId="15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12" fillId="0" borderId="15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14" fillId="0" borderId="15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16" fillId="0" borderId="15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18" fillId="0" borderId="15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20" fillId="0" borderId="15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22" fillId="0" borderId="15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24" fillId="0" borderId="15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26" fillId="0" borderId="15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28" fillId="0" borderId="15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30" fillId="0" borderId="15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32" fillId="0" borderId="15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34" fillId="0" borderId="15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36" fillId="0" borderId="15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38" fillId="0" borderId="15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40" fillId="0" borderId="15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42" fillId="0" borderId="15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44" fillId="0" borderId="15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46" fillId="0" borderId="15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48" fillId="0" borderId="15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50" fillId="0" borderId="15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52" fillId="0" borderId="15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54" fillId="0" borderId="15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56" fillId="0" borderId="15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58" fillId="0" borderId="15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60" fillId="0" borderId="15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62" fillId="0" borderId="15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64" fillId="0" borderId="15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66" fillId="0" borderId="15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68" fillId="0" borderId="15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70" fillId="0" borderId="15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72" fillId="0" borderId="15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74" fillId="0" borderId="15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76" fillId="0" borderId="15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78" fillId="0" borderId="15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80" fillId="0" borderId="15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82" fillId="0" borderId="15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84" fillId="0" borderId="15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86" fillId="0" borderId="15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88" fillId="0" borderId="15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90" fillId="0" borderId="15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92" fillId="0" borderId="15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94" fillId="0" borderId="15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96" fillId="0" borderId="15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98" fillId="0" borderId="15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00" fillId="0" borderId="15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02" fillId="0" borderId="15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04" fillId="0" borderId="15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06" fillId="0" borderId="15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08" fillId="0" borderId="15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10" fillId="0" borderId="15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12" fillId="0" borderId="15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14" fillId="0" borderId="15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16" fillId="0" borderId="15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18" fillId="0" borderId="15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20" fillId="0" borderId="15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5420" xfId="0"/>
    <xf numFmtId="0" fontId="24322" fillId="0" borderId="15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24" fillId="0" borderId="15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26" fillId="0" borderId="15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28" fillId="0" borderId="15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30" fillId="0" borderId="15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32" fillId="0" borderId="15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34" fillId="0" borderId="15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36" fillId="0" borderId="15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38" fillId="0" borderId="15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40" fillId="0" borderId="15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42" fillId="0" borderId="15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44" fillId="0" borderId="15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46" fillId="0" borderId="15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48" fillId="0" borderId="15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50" fillId="0" borderId="15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52" fillId="0" borderId="15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54" fillId="0" borderId="15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56" fillId="0" borderId="15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58" fillId="0" borderId="15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60" fillId="0" borderId="15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62" fillId="0" borderId="15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64" fillId="0" borderId="154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366" fillId="0" borderId="154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368" fillId="0" borderId="15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370" fillId="0" borderId="15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72" fillId="0" borderId="15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74" fillId="0" borderId="15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76" fillId="0" borderId="15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78" fillId="0" borderId="15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80" fillId="0" borderId="15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82" fillId="0" borderId="15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84" fillId="0" borderId="15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86" fillId="0" borderId="15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88" fillId="0" borderId="15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90" fillId="0" borderId="15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92" fillId="0" borderId="15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94" fillId="0" borderId="15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96" fillId="0" borderId="15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98" fillId="0" borderId="15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00" fillId="0" borderId="15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02" fillId="0" borderId="154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4404" fillId="0" borderId="15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06" fillId="0" borderId="15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08" fillId="0" borderId="15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10" fillId="0" borderId="15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12" fillId="0" borderId="15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14" fillId="0" borderId="15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16" fillId="0" borderId="15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18" fillId="0" borderId="15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20" fillId="0" borderId="15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22" fillId="0" borderId="15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24" fillId="0" borderId="15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26" fillId="0" borderId="15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28" fillId="0" borderId="15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30" fillId="0" borderId="15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32" fillId="0" borderId="15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34" fillId="0" borderId="15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36" fillId="0" borderId="15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38" fillId="0" borderId="15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40" fillId="0" borderId="15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42" fillId="0" borderId="154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4444" fillId="0" borderId="15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446" fillId="0" borderId="15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448" fillId="0" borderId="15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450" fillId="0" borderId="15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52" fillId="0" borderId="15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54" fillId="0" borderId="15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56" fillId="0" borderId="15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58" fillId="0" borderId="15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60" fillId="0" borderId="15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62" fillId="0" borderId="15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64" fillId="0" borderId="15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66" fillId="0" borderId="15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68" fillId="0" borderId="15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70" fillId="0" borderId="15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72" fillId="0" borderId="15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74" fillId="0" borderId="15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76" fillId="0" borderId="15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78" fillId="0" borderId="15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80" fillId="0" borderId="15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82" fillId="0" borderId="155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4484" fillId="0" borderId="155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486" fillId="0" borderId="15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488" fillId="0" borderId="15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490" fillId="0" borderId="15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92" fillId="0" borderId="15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94" fillId="0" borderId="15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96" fillId="0" borderId="15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98" fillId="0" borderId="15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00" fillId="0" borderId="15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02" fillId="0" borderId="15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04" fillId="0" borderId="15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06" fillId="0" borderId="15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08" fillId="0" borderId="15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10" fillId="0" borderId="15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12" fillId="0" borderId="15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14" fillId="0" borderId="15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16" fillId="0" borderId="15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18" fillId="0" borderId="15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20" fillId="0" borderId="15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22" fillId="0" borderId="155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4524" fillId="0" borderId="15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526" fillId="0" borderId="15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528" fillId="0" borderId="15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530" fillId="0" borderId="15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32" fillId="0" borderId="15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34" fillId="0" borderId="15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36" fillId="0" borderId="15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38" fillId="0" borderId="15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40" fillId="0" borderId="15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42" fillId="0" borderId="15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44" fillId="0" borderId="15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46" fillId="0" borderId="15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48" fillId="0" borderId="15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50" fillId="0" borderId="15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52" fillId="0" borderId="15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54" fillId="0" borderId="15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56" fillId="0" borderId="15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58" fillId="0" borderId="15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60" fillId="0" borderId="15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62" fillId="0" borderId="155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4564" fillId="0" borderId="155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566" fillId="0" borderId="15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568" fillId="0" borderId="155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570" fillId="0" borderId="15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72" fillId="0" borderId="15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74" fillId="0" borderId="15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76" fillId="0" borderId="15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78" fillId="0" borderId="15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80" fillId="0" borderId="15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82" fillId="0" borderId="15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84" fillId="0" borderId="15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86" fillId="0" borderId="15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88" fillId="0" borderId="15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90" fillId="0" borderId="15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92" fillId="0" borderId="15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94" fillId="0" borderId="15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96" fillId="0" borderId="15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98" fillId="0" borderId="15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00" fillId="0" borderId="15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02" fillId="0" borderId="155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4604" fillId="0" borderId="155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606" fillId="0" borderId="15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608" fillId="0" borderId="15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610" fillId="0" borderId="15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12" fillId="0" borderId="15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14" fillId="0" borderId="15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16" fillId="0" borderId="15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18" fillId="0" borderId="15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20" fillId="0" borderId="15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22" fillId="0" borderId="15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24" fillId="0" borderId="15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26" fillId="0" borderId="15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28" fillId="0" borderId="15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30" fillId="0" borderId="15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32" fillId="0" borderId="15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34" fillId="0" borderId="15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36" fillId="0" borderId="15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38" fillId="0" borderId="15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40" fillId="0" borderId="15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42" fillId="0" borderId="155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4644" fillId="0" borderId="15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646" fillId="0" borderId="15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648" fillId="0" borderId="15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650" fillId="0" borderId="15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52" fillId="0" borderId="15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54" fillId="0" borderId="15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56" fillId="0" borderId="15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58" fillId="0" borderId="15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60" fillId="0" borderId="15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62" fillId="0" borderId="15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64" fillId="0" borderId="15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66" fillId="0" borderId="15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68" fillId="0" borderId="15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70" fillId="0" borderId="15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72" fillId="0" borderId="15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74" fillId="0" borderId="15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76" fillId="0" borderId="15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78" fillId="0" borderId="15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80" fillId="0" borderId="15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82" fillId="0" borderId="156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4684" fillId="0" borderId="156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686" fillId="0" borderId="15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688" fillId="0" borderId="15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690" fillId="0" borderId="15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92" fillId="0" borderId="15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94" fillId="0" borderId="15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96" fillId="0" borderId="15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98" fillId="0" borderId="15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00" fillId="0" borderId="15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02" fillId="0" borderId="15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04" fillId="0" borderId="15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06" fillId="0" borderId="15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08" fillId="0" borderId="15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10" fillId="0" borderId="15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12" fillId="0" borderId="15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14" fillId="0" borderId="15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16" fillId="0" borderId="15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18" fillId="0" borderId="15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20" fillId="0" borderId="15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22" fillId="0" borderId="156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4724" fillId="0" borderId="156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726" fillId="0" borderId="156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728" fillId="0" borderId="15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730" fillId="0" borderId="15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32" fillId="0" borderId="15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34" fillId="0" borderId="15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36" fillId="0" borderId="15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38" fillId="0" borderId="15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40" fillId="0" borderId="15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42" fillId="0" borderId="15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44" fillId="0" borderId="15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46" fillId="0" borderId="15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48" fillId="0" borderId="15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50" fillId="0" borderId="15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52" fillId="0" borderId="15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54" fillId="0" borderId="15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56" fillId="0" borderId="15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58" fillId="0" borderId="15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60" fillId="0" borderId="15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62" fillId="0" borderId="156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4764" fillId="0" borderId="15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766" fillId="0" borderId="15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768" fillId="0" borderId="15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770" fillId="0" borderId="15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72" fillId="0" borderId="15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74" fillId="0" borderId="15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76" fillId="0" borderId="15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78" fillId="0" borderId="15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80" fillId="0" borderId="15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82" fillId="0" borderId="15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84" fillId="0" borderId="15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86" fillId="0" borderId="15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88" fillId="0" borderId="15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90" fillId="0" borderId="15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92" fillId="0" borderId="15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94" fillId="0" borderId="15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96" fillId="0" borderId="15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98" fillId="0" borderId="15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00" fillId="0" borderId="15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02" fillId="0" borderId="156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4804" fillId="0" borderId="156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806" fillId="0" borderId="15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808" fillId="0" borderId="156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810" fillId="0" borderId="15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12" fillId="0" borderId="15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14" fillId="0" borderId="15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16" fillId="0" borderId="15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18" fillId="0" borderId="15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20" fillId="0" borderId="15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22" fillId="0" borderId="15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24" fillId="0" borderId="15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26" fillId="0" borderId="15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28" fillId="0" borderId="15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30" fillId="0" borderId="15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32" fillId="0" borderId="15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34" fillId="0" borderId="15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36" fillId="0" borderId="15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38" fillId="0" borderId="15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40" fillId="0" borderId="15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42" fillId="0" borderId="156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4844" fillId="0" borderId="156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846" fillId="0" borderId="156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848" fillId="0" borderId="156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850" fillId="0" borderId="15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52" fillId="0" borderId="15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54" fillId="0" borderId="15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56" fillId="0" borderId="15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58" fillId="0" borderId="15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60" fillId="0" borderId="15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62" fillId="0" borderId="15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64" fillId="0" borderId="15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66" fillId="0" borderId="15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68" fillId="0" borderId="15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70" fillId="0" borderId="15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72" fillId="0" borderId="15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74" fillId="0" borderId="15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76" fillId="0" borderId="15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78" fillId="0" borderId="15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80" fillId="0" borderId="15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82" fillId="0" borderId="157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4884" fillId="0" borderId="157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886" fillId="0" borderId="157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888" fillId="0" borderId="157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890" fillId="0" borderId="15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92" fillId="0" borderId="15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94" fillId="0" borderId="15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96" fillId="0" borderId="15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98" fillId="0" borderId="15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00" fillId="0" borderId="15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02" fillId="0" borderId="15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04" fillId="0" borderId="15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06" fillId="0" borderId="15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08" fillId="0" borderId="15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10" fillId="0" borderId="15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12" fillId="0" borderId="15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14" fillId="0" borderId="15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16" fillId="0" borderId="15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18" fillId="0" borderId="15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20" fillId="0" borderId="15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22" fillId="0" borderId="157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4924" fillId="0" borderId="157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926" fillId="0" borderId="157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928" fillId="0" borderId="15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930" fillId="0" borderId="15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32" fillId="0" borderId="15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34" fillId="0" borderId="15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36" fillId="0" borderId="15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38" fillId="0" borderId="15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40" fillId="0" borderId="15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42" fillId="0" borderId="15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44" fillId="0" borderId="15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46" fillId="0" borderId="15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48" fillId="0" borderId="15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50" fillId="0" borderId="15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52" fillId="0" borderId="15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54" fillId="0" borderId="15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56" fillId="0" borderId="15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58" fillId="0" borderId="15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60" fillId="0" borderId="15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62" fillId="0" borderId="157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4964" fillId="0" borderId="157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966" fillId="0" borderId="157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968" fillId="0" borderId="157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970" fillId="0" borderId="15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72" fillId="0" borderId="15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74" fillId="0" borderId="15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76" fillId="0" borderId="15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78" fillId="0" borderId="15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80" fillId="0" borderId="15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82" fillId="0" borderId="15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84" fillId="0" borderId="15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86" fillId="0" borderId="15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88" fillId="0" borderId="15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90" fillId="0" borderId="15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92" fillId="0" borderId="15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94" fillId="0" borderId="15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96" fillId="0" borderId="15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98" fillId="0" borderId="15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00" fillId="0" borderId="15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02" fillId="372" borderId="15761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5004" fillId="373" borderId="15762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006" fillId="374" borderId="15763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008" fillId="375" borderId="15764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010" fillId="0" borderId="15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12" fillId="0" borderId="15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14" fillId="0" borderId="15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16" fillId="0" borderId="15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18" fillId="0" borderId="15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20" fillId="0" borderId="15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22" fillId="0" borderId="15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24" fillId="0" borderId="15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26" fillId="0" borderId="15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28" fillId="0" borderId="15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30" fillId="0" borderId="15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32" fillId="0" borderId="15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34" fillId="0" borderId="15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36" fillId="0" borderId="15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38" fillId="0" borderId="15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40" fillId="0" borderId="15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42" fillId="0" borderId="15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44" fillId="0" borderId="15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46" fillId="0" borderId="15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48" fillId="0" borderId="15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50" fillId="0" borderId="15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52" fillId="0" borderId="15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54" fillId="0" borderId="15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56" fillId="0" borderId="15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58" fillId="0" borderId="15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60" fillId="0" borderId="15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62" fillId="0" borderId="15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64" fillId="0" borderId="15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66" fillId="0" borderId="15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68" fillId="0" borderId="15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70" fillId="0" borderId="15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72" fillId="0" borderId="15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74" fillId="0" borderId="15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76" fillId="0" borderId="15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78" fillId="0" borderId="15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80" fillId="0" borderId="15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82" fillId="0" borderId="15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84" fillId="0" borderId="15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86" fillId="0" borderId="15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88" fillId="0" borderId="15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90" fillId="0" borderId="15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92" fillId="0" borderId="15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94" fillId="0" borderId="15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96" fillId="0" borderId="15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98" fillId="0" borderId="15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00" fillId="0" borderId="15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02" fillId="0" borderId="15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04" fillId="0" borderId="15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06" fillId="0" borderId="15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08" fillId="0" borderId="15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10" fillId="0" borderId="15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12" fillId="0" borderId="15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14" fillId="0" borderId="15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16" fillId="0" borderId="15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18" fillId="0" borderId="15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20" fillId="0" borderId="15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5821" xfId="0"/>
    <xf numFmtId="0" fontId="25122" fillId="0" borderId="15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24" fillId="0" borderId="15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26" fillId="0" borderId="15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28" fillId="0" borderId="15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30" fillId="0" borderId="15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32" fillId="0" borderId="15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34" fillId="0" borderId="15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36" fillId="0" borderId="15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38" fillId="0" borderId="15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40" fillId="0" borderId="15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42" fillId="0" borderId="15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44" fillId="0" borderId="15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46" fillId="0" borderId="15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48" fillId="0" borderId="15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50" fillId="0" borderId="15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52" fillId="0" borderId="15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54" fillId="0" borderId="15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56" fillId="0" borderId="15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58" fillId="0" borderId="15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60" fillId="0" borderId="15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62" fillId="0" borderId="15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64" fillId="0" borderId="15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166" fillId="0" borderId="15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168" fillId="0" borderId="158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170" fillId="0" borderId="15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72" fillId="0" borderId="15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74" fillId="0" borderId="15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76" fillId="0" borderId="15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78" fillId="0" borderId="15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80" fillId="0" borderId="15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82" fillId="0" borderId="15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84" fillId="0" borderId="15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86" fillId="0" borderId="15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88" fillId="0" borderId="15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90" fillId="0" borderId="15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92" fillId="0" borderId="15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94" fillId="0" borderId="15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96" fillId="0" borderId="15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98" fillId="0" borderId="15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00" fillId="0" borderId="15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02" fillId="0" borderId="158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204" fillId="0" borderId="15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06" fillId="0" borderId="15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08" fillId="0" borderId="15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10" fillId="0" borderId="15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12" fillId="0" borderId="15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14" fillId="0" borderId="15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16" fillId="0" borderId="15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18" fillId="0" borderId="15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20" fillId="0" borderId="15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22" fillId="0" borderId="15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24" fillId="0" borderId="15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26" fillId="0" borderId="15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28" fillId="0" borderId="15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30" fillId="0" borderId="15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32" fillId="0" borderId="15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34" fillId="0" borderId="15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36" fillId="0" borderId="15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38" fillId="0" borderId="15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40" fillId="0" borderId="15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42" fillId="0" borderId="158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5244" fillId="0" borderId="15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246" fillId="0" borderId="15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248" fillId="0" borderId="15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250" fillId="0" borderId="15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52" fillId="0" borderId="15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54" fillId="0" borderId="15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56" fillId="0" borderId="15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58" fillId="0" borderId="15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60" fillId="0" borderId="15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62" fillId="0" borderId="15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64" fillId="0" borderId="15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66" fillId="0" borderId="15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68" fillId="0" borderId="15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70" fillId="0" borderId="15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72" fillId="0" borderId="15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74" fillId="0" borderId="15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76" fillId="0" borderId="15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78" fillId="0" borderId="15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80" fillId="0" borderId="15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82" fillId="0" borderId="159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5284" fillId="0" borderId="15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286" fillId="0" borderId="15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288" fillId="0" borderId="159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290" fillId="0" borderId="15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92" fillId="0" borderId="15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94" fillId="0" borderId="15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96" fillId="0" borderId="15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98" fillId="0" borderId="15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00" fillId="0" borderId="15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02" fillId="0" borderId="15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04" fillId="0" borderId="15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06" fillId="0" borderId="15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08" fillId="0" borderId="15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10" fillId="0" borderId="15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12" fillId="0" borderId="15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14" fillId="0" borderId="15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16" fillId="0" borderId="15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18" fillId="0" borderId="15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20" fillId="0" borderId="15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22" fillId="0" borderId="159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5324" fillId="0" borderId="159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326" fillId="0" borderId="15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328" fillId="0" borderId="15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330" fillId="0" borderId="15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32" fillId="0" borderId="15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34" fillId="0" borderId="15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36" fillId="0" borderId="15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38" fillId="0" borderId="15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40" fillId="0" borderId="15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42" fillId="0" borderId="15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44" fillId="0" borderId="15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46" fillId="0" borderId="15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48" fillId="0" borderId="15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50" fillId="0" borderId="15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52" fillId="0" borderId="15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54" fillId="0" borderId="15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56" fillId="0" borderId="15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58" fillId="0" borderId="15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60" fillId="0" borderId="15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62" fillId="0" borderId="159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5364" fillId="0" borderId="159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366" fillId="0" borderId="159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368" fillId="0" borderId="15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370" fillId="0" borderId="15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72" fillId="0" borderId="15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74" fillId="0" borderId="15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76" fillId="0" borderId="15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78" fillId="0" borderId="15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80" fillId="0" borderId="15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82" fillId="0" borderId="15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84" fillId="0" borderId="15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86" fillId="0" borderId="15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88" fillId="0" borderId="15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90" fillId="0" borderId="15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92" fillId="0" borderId="15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94" fillId="0" borderId="15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96" fillId="0" borderId="15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98" fillId="0" borderId="15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00" fillId="0" borderId="15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02" fillId="0" borderId="159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5404" fillId="0" borderId="15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406" fillId="0" borderId="159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408" fillId="0" borderId="159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410" fillId="0" borderId="15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12" fillId="0" borderId="15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14" fillId="0" borderId="15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16" fillId="0" borderId="15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18" fillId="0" borderId="15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20" fillId="0" borderId="15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22" fillId="0" borderId="15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24" fillId="0" borderId="15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26" fillId="0" borderId="15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28" fillId="0" borderId="15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30" fillId="0" borderId="15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32" fillId="0" borderId="15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34" fillId="0" borderId="15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36" fillId="0" borderId="15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38" fillId="0" borderId="15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40" fillId="0" borderId="15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42" fillId="0" borderId="159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5444" fillId="0" borderId="159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446" fillId="0" borderId="15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448" fillId="0" borderId="159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450" fillId="0" borderId="15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52" fillId="0" borderId="15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54" fillId="0" borderId="15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56" fillId="0" borderId="15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58" fillId="0" borderId="15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60" fillId="0" borderId="15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62" fillId="0" borderId="15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64" fillId="0" borderId="15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66" fillId="0" borderId="15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68" fillId="0" borderId="15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70" fillId="0" borderId="15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72" fillId="0" borderId="15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74" fillId="0" borderId="15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76" fillId="0" borderId="15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78" fillId="0" borderId="16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80" fillId="0" borderId="16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82" fillId="0" borderId="160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5484" fillId="0" borderId="160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486" fillId="0" borderId="160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488" fillId="0" borderId="160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490" fillId="0" borderId="16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92" fillId="0" borderId="16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94" fillId="0" borderId="16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96" fillId="0" borderId="16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98" fillId="0" borderId="16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00" fillId="0" borderId="16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02" fillId="0" borderId="16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04" fillId="0" borderId="16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06" fillId="0" borderId="16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08" fillId="0" borderId="16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10" fillId="0" borderId="16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12" fillId="0" borderId="16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14" fillId="0" borderId="16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16" fillId="0" borderId="16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18" fillId="0" borderId="16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20" fillId="0" borderId="16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22" fillId="0" borderId="160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5524" fillId="0" borderId="16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526" fillId="0" borderId="160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528" fillId="0" borderId="160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530" fillId="0" borderId="16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32" fillId="0" borderId="16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34" fillId="0" borderId="16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36" fillId="0" borderId="16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38" fillId="0" borderId="16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40" fillId="0" borderId="16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42" fillId="0" borderId="16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44" fillId="0" borderId="16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46" fillId="0" borderId="16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48" fillId="0" borderId="16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50" fillId="0" borderId="16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52" fillId="0" borderId="16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54" fillId="0" borderId="16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56" fillId="0" borderId="16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58" fillId="0" borderId="16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60" fillId="0" borderId="16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62" fillId="0" borderId="160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5564" fillId="0" borderId="160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566" fillId="0" borderId="16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568" fillId="0" borderId="160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570" fillId="0" borderId="16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72" fillId="0" borderId="16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74" fillId="0" borderId="16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76" fillId="0" borderId="16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78" fillId="0" borderId="16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80" fillId="0" borderId="16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82" fillId="0" borderId="16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84" fillId="0" borderId="16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86" fillId="0" borderId="16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88" fillId="0" borderId="16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90" fillId="0" borderId="16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92" fillId="0" borderId="16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94" fillId="0" borderId="16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96" fillId="0" borderId="16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98" fillId="0" borderId="16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00" fillId="0" borderId="16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02" fillId="0" borderId="160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5604" fillId="0" borderId="160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606" fillId="0" borderId="160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608" fillId="0" borderId="160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610" fillId="0" borderId="16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12" fillId="0" borderId="16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14" fillId="0" borderId="16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16" fillId="0" borderId="16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18" fillId="0" borderId="16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20" fillId="0" borderId="16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22" fillId="0" borderId="16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24" fillId="0" borderId="16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26" fillId="0" borderId="16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28" fillId="0" borderId="16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30" fillId="0" borderId="16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32" fillId="0" borderId="16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34" fillId="0" borderId="16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36" fillId="0" borderId="16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38" fillId="0" borderId="16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40" fillId="0" borderId="16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42" fillId="0" borderId="160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5644" fillId="0" borderId="160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646" fillId="0" borderId="160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648" fillId="0" borderId="160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650" fillId="0" borderId="16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52" fillId="0" borderId="16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54" fillId="0" borderId="16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56" fillId="0" borderId="16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58" fillId="0" borderId="16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60" fillId="0" borderId="16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62" fillId="0" borderId="16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64" fillId="0" borderId="16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66" fillId="0" borderId="16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68" fillId="0" borderId="16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70" fillId="0" borderId="16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72" fillId="0" borderId="16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74" fillId="0" borderId="16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76" fillId="0" borderId="16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78" fillId="0" borderId="16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80" fillId="0" borderId="16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82" fillId="0" borderId="161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5684" fillId="0" borderId="16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686" fillId="0" borderId="16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688" fillId="0" borderId="161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690" fillId="0" borderId="16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92" fillId="0" borderId="16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94" fillId="0" borderId="16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96" fillId="0" borderId="16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98" fillId="0" borderId="16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00" fillId="0" borderId="16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02" fillId="0" borderId="16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04" fillId="0" borderId="16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06" fillId="0" borderId="16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08" fillId="0" borderId="16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10" fillId="0" borderId="16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12" fillId="0" borderId="16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14" fillId="0" borderId="16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16" fillId="0" borderId="16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18" fillId="0" borderId="16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20" fillId="0" borderId="16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22" fillId="0" borderId="161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5724" fillId="0" borderId="16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726" fillId="0" borderId="16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728" fillId="0" borderId="16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730" fillId="0" borderId="16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32" fillId="0" borderId="16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34" fillId="0" borderId="16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36" fillId="0" borderId="16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38" fillId="0" borderId="16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40" fillId="0" borderId="16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42" fillId="0" borderId="16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44" fillId="0" borderId="16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46" fillId="0" borderId="16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48" fillId="0" borderId="16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50" fillId="0" borderId="16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52" fillId="0" borderId="16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54" fillId="0" borderId="16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56" fillId="0" borderId="16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58" fillId="0" borderId="16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60" fillId="0" borderId="16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62" fillId="0" borderId="161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5764" fillId="0" borderId="16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766" fillId="0" borderId="16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768" fillId="0" borderId="16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770" fillId="0" borderId="16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72" fillId="0" borderId="16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74" fillId="0" borderId="16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76" fillId="0" borderId="16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78" fillId="0" borderId="16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80" fillId="0" borderId="16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82" fillId="0" borderId="16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84" fillId="0" borderId="16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86" fillId="0" borderId="16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88" fillId="0" borderId="16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90" fillId="0" borderId="16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92" fillId="0" borderId="16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94" fillId="0" borderId="16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96" fillId="0" borderId="16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98" fillId="0" borderId="16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00" fillId="0" borderId="16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02" fillId="376" borderId="16162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5804" fillId="377" borderId="16163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806" fillId="378" borderId="16164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808" fillId="379" borderId="16165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10" fillId="0" borderId="16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12" fillId="0" borderId="16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14" fillId="0" borderId="16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16" fillId="0" borderId="16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18" fillId="0" borderId="16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20" fillId="0" borderId="16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22" fillId="0" borderId="16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24" fillId="0" borderId="16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26" fillId="0" borderId="16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28" fillId="0" borderId="16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30" fillId="0" borderId="16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32" fillId="0" borderId="16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34" fillId="0" borderId="16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36" fillId="0" borderId="16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38" fillId="0" borderId="16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40" fillId="0" borderId="16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42" fillId="0" borderId="16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44" fillId="0" borderId="16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46" fillId="0" borderId="16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48" fillId="0" borderId="16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50" fillId="0" borderId="16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52" fillId="0" borderId="16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54" fillId="0" borderId="16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56" fillId="0" borderId="16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58" fillId="0" borderId="16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60" fillId="0" borderId="16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62" fillId="0" borderId="16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64" fillId="0" borderId="16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66" fillId="0" borderId="16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68" fillId="0" borderId="16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70" fillId="0" borderId="16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72" fillId="0" borderId="16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74" fillId="0" borderId="16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76" fillId="0" borderId="16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78" fillId="0" borderId="16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80" fillId="0" borderId="16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82" fillId="0" borderId="16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84" fillId="0" borderId="16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86" fillId="0" borderId="16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88" fillId="0" borderId="16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90" fillId="0" borderId="16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92" fillId="0" borderId="16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94" fillId="0" borderId="16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96" fillId="0" borderId="16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98" fillId="0" borderId="16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00" fillId="0" borderId="16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02" fillId="0" borderId="16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04" fillId="0" borderId="16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06" fillId="0" borderId="16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08" fillId="0" borderId="16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10" fillId="0" borderId="16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12" fillId="0" borderId="16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14" fillId="0" borderId="16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16" fillId="0" borderId="16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18" fillId="0" borderId="16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20" fillId="0" borderId="16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6222" xfId="0"/>
    <xf numFmtId="0" fontId="25922" fillId="0" borderId="16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24" fillId="0" borderId="16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26" fillId="0" borderId="16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28" fillId="0" borderId="16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30" fillId="0" borderId="16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32" fillId="0" borderId="16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34" fillId="0" borderId="16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36" fillId="0" borderId="16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38" fillId="0" borderId="16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40" fillId="0" borderId="16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42" fillId="0" borderId="16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44" fillId="0" borderId="16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46" fillId="0" borderId="16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48" fillId="0" borderId="16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50" fillId="0" borderId="16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52" fillId="0" borderId="16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54" fillId="0" borderId="16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56" fillId="0" borderId="16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58" fillId="0" borderId="16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60" fillId="0" borderId="16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62" fillId="0" borderId="16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64" fillId="0" borderId="16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66" fillId="0" borderId="162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68" fillId="0" borderId="16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70" fillId="0" borderId="16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72" fillId="0" borderId="16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74" fillId="0" borderId="16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76" fillId="0" borderId="16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78" fillId="0" borderId="16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80" fillId="0" borderId="16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82" fillId="0" borderId="16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84" fillId="0" borderId="16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86" fillId="0" borderId="16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88" fillId="0" borderId="16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90" fillId="0" borderId="16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92" fillId="0" borderId="16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94" fillId="0" borderId="16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96" fillId="0" borderId="16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98" fillId="0" borderId="16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00" fillId="0" borderId="16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02" fillId="0" borderId="162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004" fillId="0" borderId="16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06" fillId="0" borderId="16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08" fillId="0" borderId="16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10" fillId="0" borderId="16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12" fillId="0" borderId="16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14" fillId="0" borderId="16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16" fillId="0" borderId="16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18" fillId="0" borderId="16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20" fillId="0" borderId="16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22" fillId="0" borderId="16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24" fillId="0" borderId="16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26" fillId="0" borderId="16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28" fillId="0" borderId="16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30" fillId="0" borderId="16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32" fillId="0" borderId="16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34" fillId="0" borderId="16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36" fillId="0" borderId="16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38" fillId="0" borderId="16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40" fillId="0" borderId="16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42" fillId="0" borderId="162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6044" fillId="0" borderId="16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046" fillId="0" borderId="16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048" fillId="0" borderId="16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050" fillId="0" borderId="16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52" fillId="0" borderId="16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54" fillId="0" borderId="16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56" fillId="0" borderId="16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58" fillId="0" borderId="16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60" fillId="0" borderId="16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62" fillId="0" borderId="16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64" fillId="0" borderId="16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66" fillId="0" borderId="16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68" fillId="0" borderId="16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70" fillId="0" borderId="16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72" fillId="0" borderId="16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74" fillId="0" borderId="16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76" fillId="0" borderId="16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78" fillId="0" borderId="16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80" fillId="0" borderId="16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82" fillId="0" borderId="163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6084" fillId="0" borderId="163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086" fillId="0" borderId="16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088" fillId="0" borderId="16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090" fillId="0" borderId="16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92" fillId="0" borderId="16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94" fillId="0" borderId="16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96" fillId="0" borderId="16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98" fillId="0" borderId="16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00" fillId="0" borderId="16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02" fillId="0" borderId="16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04" fillId="0" borderId="16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06" fillId="0" borderId="16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08" fillId="0" borderId="16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10" fillId="0" borderId="16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12" fillId="0" borderId="16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14" fillId="0" borderId="16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16" fillId="0" borderId="16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18" fillId="0" borderId="16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20" fillId="0" borderId="16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22" fillId="0" borderId="163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6124" fillId="0" borderId="16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126" fillId="0" borderId="16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128" fillId="0" borderId="16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130" fillId="0" borderId="16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32" fillId="0" borderId="16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34" fillId="0" borderId="16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36" fillId="0" borderId="16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38" fillId="0" borderId="16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40" fillId="0" borderId="16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42" fillId="0" borderId="16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44" fillId="0" borderId="16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46" fillId="0" borderId="16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48" fillId="0" borderId="16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50" fillId="0" borderId="16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52" fillId="0" borderId="16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54" fillId="0" borderId="16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56" fillId="0" borderId="16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58" fillId="0" borderId="16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60" fillId="0" borderId="16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62" fillId="0" borderId="163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6164" fillId="0" borderId="16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166" fillId="0" borderId="16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168" fillId="0" borderId="16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170" fillId="0" borderId="16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72" fillId="0" borderId="16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74" fillId="0" borderId="16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76" fillId="0" borderId="16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78" fillId="0" borderId="16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80" fillId="0" borderId="16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82" fillId="0" borderId="16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84" fillId="0" borderId="16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86" fillId="0" borderId="16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88" fillId="0" borderId="16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90" fillId="0" borderId="16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92" fillId="0" borderId="16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94" fillId="0" borderId="16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96" fillId="0" borderId="16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98" fillId="0" borderId="16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00" fillId="0" borderId="16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02" fillId="0" borderId="163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6204" fillId="0" borderId="16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206" fillId="0" borderId="163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208" fillId="0" borderId="16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210" fillId="0" borderId="16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12" fillId="0" borderId="16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14" fillId="0" borderId="16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16" fillId="0" borderId="16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18" fillId="0" borderId="16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20" fillId="0" borderId="16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22" fillId="0" borderId="16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24" fillId="0" borderId="16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26" fillId="0" borderId="16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28" fillId="0" borderId="16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30" fillId="0" borderId="16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32" fillId="0" borderId="16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34" fillId="0" borderId="16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36" fillId="0" borderId="16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38" fillId="0" borderId="16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40" fillId="0" borderId="16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42" fillId="0" borderId="163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6244" fillId="0" borderId="16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246" fillId="0" borderId="16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248" fillId="0" borderId="16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250" fillId="0" borderId="16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52" fillId="0" borderId="16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54" fillId="0" borderId="16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56" fillId="0" borderId="16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58" fillId="0" borderId="16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60" fillId="0" borderId="16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62" fillId="0" borderId="16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64" fillId="0" borderId="16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66" fillId="0" borderId="16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68" fillId="0" borderId="16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70" fillId="0" borderId="16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72" fillId="0" borderId="16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74" fillId="0" borderId="16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76" fillId="0" borderId="16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78" fillId="0" borderId="16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80" fillId="0" borderId="16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82" fillId="0" borderId="164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6284" fillId="0" borderId="16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286" fillId="0" borderId="16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288" fillId="0" borderId="164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290" fillId="0" borderId="16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92" fillId="0" borderId="16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94" fillId="0" borderId="16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96" fillId="0" borderId="16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98" fillId="0" borderId="16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00" fillId="0" borderId="16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02" fillId="0" borderId="16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04" fillId="0" borderId="16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06" fillId="0" borderId="16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08" fillId="0" borderId="16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10" fillId="0" borderId="16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12" fillId="0" borderId="16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14" fillId="0" borderId="16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16" fillId="0" borderId="16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18" fillId="0" borderId="16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20" fillId="0" borderId="16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22" fillId="0" borderId="164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6324" fillId="0" borderId="16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326" fillId="0" borderId="16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328" fillId="0" borderId="16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330" fillId="0" borderId="16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32" fillId="0" borderId="16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34" fillId="0" borderId="16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36" fillId="0" borderId="16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38" fillId="0" borderId="16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40" fillId="0" borderId="16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42" fillId="0" borderId="16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44" fillId="0" borderId="16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46" fillId="0" borderId="16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48" fillId="0" borderId="16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50" fillId="0" borderId="16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52" fillId="0" borderId="16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54" fillId="0" borderId="16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56" fillId="0" borderId="16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58" fillId="0" borderId="16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60" fillId="0" borderId="16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62" fillId="0" borderId="164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6364" fillId="0" borderId="16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366" fillId="0" borderId="16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368" fillId="0" borderId="164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370" fillId="0" borderId="16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72" fillId="0" borderId="16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74" fillId="0" borderId="16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76" fillId="0" borderId="16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78" fillId="0" borderId="16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80" fillId="0" borderId="16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82" fillId="0" borderId="16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84" fillId="0" borderId="16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86" fillId="0" borderId="16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88" fillId="0" borderId="16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90" fillId="0" borderId="16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92" fillId="0" borderId="16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94" fillId="0" borderId="16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96" fillId="0" borderId="16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98" fillId="0" borderId="16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00" fillId="0" borderId="16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02" fillId="0" borderId="164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6404" fillId="0" borderId="16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406" fillId="0" borderId="16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408" fillId="0" borderId="16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410" fillId="0" borderId="16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12" fillId="0" borderId="16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14" fillId="0" borderId="16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16" fillId="0" borderId="16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18" fillId="0" borderId="16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20" fillId="0" borderId="16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22" fillId="0" borderId="16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24" fillId="0" borderId="16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26" fillId="0" borderId="16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28" fillId="0" borderId="16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30" fillId="0" borderId="16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32" fillId="0" borderId="16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34" fillId="0" borderId="16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36" fillId="0" borderId="16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38" fillId="0" borderId="16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40" fillId="0" borderId="16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42" fillId="0" borderId="164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6444" fillId="0" borderId="16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446" fillId="0" borderId="16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448" fillId="0" borderId="16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450" fillId="0" borderId="16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52" fillId="0" borderId="16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54" fillId="0" borderId="16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56" fillId="0" borderId="16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58" fillId="0" borderId="16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60" fillId="0" borderId="16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62" fillId="0" borderId="16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64" fillId="0" borderId="16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66" fillId="0" borderId="16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68" fillId="0" borderId="16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70" fillId="0" borderId="16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72" fillId="0" borderId="16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74" fillId="0" borderId="16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76" fillId="0" borderId="16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78" fillId="0" borderId="16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80" fillId="0" borderId="16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82" fillId="0" borderId="165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6484" fillId="0" borderId="16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486" fillId="0" borderId="165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488" fillId="0" borderId="16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490" fillId="0" borderId="16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92" fillId="0" borderId="16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94" fillId="0" borderId="16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96" fillId="0" borderId="16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98" fillId="0" borderId="16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00" fillId="0" borderId="16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02" fillId="0" borderId="16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04" fillId="0" borderId="16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06" fillId="0" borderId="16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08" fillId="0" borderId="16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10" fillId="0" borderId="16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12" fillId="0" borderId="16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14" fillId="0" borderId="16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16" fillId="0" borderId="16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18" fillId="0" borderId="16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20" fillId="0" borderId="16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22" fillId="0" borderId="165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6524" fillId="0" borderId="16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526" fillId="0" borderId="16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528" fillId="0" borderId="16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30" fillId="0" borderId="16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32" fillId="0" borderId="16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34" fillId="0" borderId="16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36" fillId="0" borderId="16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38" fillId="0" borderId="16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40" fillId="0" borderId="16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42" fillId="0" borderId="16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44" fillId="0" borderId="16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46" fillId="0" borderId="16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48" fillId="0" borderId="16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50" fillId="0" borderId="16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52" fillId="0" borderId="16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54" fillId="0" borderId="16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56" fillId="0" borderId="16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58" fillId="0" borderId="16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60" fillId="0" borderId="16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62" fillId="0" borderId="165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6564" fillId="0" borderId="165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566" fillId="0" borderId="165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568" fillId="0" borderId="165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70" fillId="0" borderId="16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72" fillId="0" borderId="16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74" fillId="0" borderId="16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76" fillId="0" borderId="16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78" fillId="0" borderId="16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80" fillId="0" borderId="16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82" fillId="0" borderId="16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84" fillId="0" borderId="16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86" fillId="0" borderId="16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88" fillId="0" borderId="16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90" fillId="0" borderId="16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92" fillId="0" borderId="16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94" fillId="0" borderId="16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96" fillId="0" borderId="16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98" fillId="0" borderId="16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00" fillId="0" borderId="16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02" fillId="380" borderId="16563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6604" fillId="381" borderId="16564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606" fillId="382" borderId="16565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608" fillId="383" borderId="16566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610" fillId="0" borderId="16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12" fillId="0" borderId="16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14" fillId="0" borderId="16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16" fillId="0" borderId="16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18" fillId="0" borderId="16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20" fillId="0" borderId="16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22" fillId="0" borderId="16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24" fillId="0" borderId="16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26" fillId="0" borderId="16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28" fillId="0" borderId="16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30" fillId="0" borderId="16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32" fillId="0" borderId="16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34" fillId="0" borderId="16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36" fillId="0" borderId="16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38" fillId="0" borderId="16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40" fillId="0" borderId="16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42" fillId="0" borderId="16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44" fillId="0" borderId="16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46" fillId="0" borderId="16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48" fillId="0" borderId="16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50" fillId="0" borderId="16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52" fillId="0" borderId="16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54" fillId="0" borderId="16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56" fillId="0" borderId="16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58" fillId="0" borderId="16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60" fillId="0" borderId="16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62" fillId="0" borderId="16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64" fillId="0" borderId="16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66" fillId="0" borderId="16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68" fillId="0" borderId="16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70" fillId="0" borderId="16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72" fillId="0" borderId="16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74" fillId="0" borderId="16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76" fillId="0" borderId="16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78" fillId="0" borderId="16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80" fillId="0" borderId="16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82" fillId="0" borderId="16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84" fillId="0" borderId="16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86" fillId="0" borderId="16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88" fillId="0" borderId="16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90" fillId="0" borderId="16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92" fillId="0" borderId="16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94" fillId="0" borderId="16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96" fillId="0" borderId="16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98" fillId="0" borderId="16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00" fillId="0" borderId="16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02" fillId="0" borderId="16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04" fillId="0" borderId="16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06" fillId="0" borderId="16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08" fillId="0" borderId="16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10" fillId="0" borderId="16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12" fillId="0" borderId="16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14" fillId="0" borderId="16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16" fillId="0" borderId="16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18" fillId="0" borderId="16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20" fillId="0" borderId="16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6623" xfId="0"/>
    <xf numFmtId="0" fontId="26722" fillId="0" borderId="16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24" fillId="0" borderId="16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26" fillId="0" borderId="16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28" fillId="0" borderId="16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30" fillId="0" borderId="16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32" fillId="0" borderId="16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34" fillId="0" borderId="16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36" fillId="0" borderId="16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38" fillId="0" borderId="16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40" fillId="0" borderId="16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42" fillId="0" borderId="16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44" fillId="0" borderId="16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46" fillId="0" borderId="16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48" fillId="0" borderId="16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50" fillId="0" borderId="16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52" fillId="0" borderId="16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54" fillId="0" borderId="16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56" fillId="0" borderId="16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58" fillId="0" borderId="16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60" fillId="0" borderId="16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62" fillId="0" borderId="16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64" fillId="0" borderId="16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766" fillId="0" borderId="16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768" fillId="0" borderId="166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770" fillId="0" borderId="16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72" fillId="0" borderId="16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74" fillId="0" borderId="16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76" fillId="0" borderId="16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78" fillId="0" borderId="16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80" fillId="0" borderId="16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82" fillId="0" borderId="16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84" fillId="0" borderId="16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86" fillId="0" borderId="16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88" fillId="0" borderId="16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90" fillId="0" borderId="16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92" fillId="0" borderId="16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94" fillId="0" borderId="16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96" fillId="0" borderId="16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98" fillId="0" borderId="16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00" fillId="0" borderId="16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02" fillId="0" borderId="166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804" fillId="0" borderId="16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06" fillId="0" borderId="16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08" fillId="0" borderId="16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10" fillId="0" borderId="16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12" fillId="0" borderId="16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14" fillId="0" borderId="16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16" fillId="0" borderId="16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18" fillId="0" borderId="16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20" fillId="0" borderId="16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22" fillId="0" borderId="16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24" fillId="0" borderId="16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26" fillId="0" borderId="16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28" fillId="0" borderId="16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30" fillId="0" borderId="16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32" fillId="0" borderId="16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34" fillId="0" borderId="16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36" fillId="0" borderId="16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38" fillId="0" borderId="16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40" fillId="0" borderId="16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42" fillId="0" borderId="166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6844" fillId="0" borderId="166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846" fillId="0" borderId="16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848" fillId="0" borderId="166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850" fillId="0" borderId="16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52" fillId="0" borderId="16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54" fillId="0" borderId="16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56" fillId="0" borderId="16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58" fillId="0" borderId="16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60" fillId="0" borderId="16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62" fillId="0" borderId="16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64" fillId="0" borderId="16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66" fillId="0" borderId="16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68" fillId="0" borderId="16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70" fillId="0" borderId="16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72" fillId="0" borderId="16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74" fillId="0" borderId="16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76" fillId="0" borderId="16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78" fillId="0" borderId="16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80" fillId="0" borderId="16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82" fillId="0" borderId="167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6884" fillId="0" borderId="16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886" fillId="0" borderId="167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888" fillId="0" borderId="167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890" fillId="0" borderId="16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92" fillId="0" borderId="16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94" fillId="0" borderId="16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96" fillId="0" borderId="16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98" fillId="0" borderId="16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00" fillId="0" borderId="16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02" fillId="0" borderId="16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04" fillId="0" borderId="16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06" fillId="0" borderId="16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08" fillId="0" borderId="16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10" fillId="0" borderId="16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12" fillId="0" borderId="16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14" fillId="0" borderId="16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16" fillId="0" borderId="16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18" fillId="0" borderId="16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20" fillId="0" borderId="16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22" fillId="0" borderId="167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6924" fillId="0" borderId="167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926" fillId="0" borderId="167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928" fillId="0" borderId="16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30" fillId="0" borderId="16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32" fillId="0" borderId="16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34" fillId="0" borderId="16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36" fillId="0" borderId="16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38" fillId="0" borderId="16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40" fillId="0" borderId="16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42" fillId="0" borderId="16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44" fillId="0" borderId="16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46" fillId="0" borderId="16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48" fillId="0" borderId="16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50" fillId="0" borderId="16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52" fillId="0" borderId="16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54" fillId="0" borderId="16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56" fillId="0" borderId="16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58" fillId="0" borderId="16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60" fillId="0" borderId="16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62" fillId="0" borderId="167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6964" fillId="0" borderId="167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966" fillId="0" borderId="167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968" fillId="0" borderId="167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70" fillId="0" borderId="16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72" fillId="0" borderId="16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74" fillId="0" borderId="16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76" fillId="0" borderId="16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78" fillId="0" borderId="16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80" fillId="0" borderId="16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82" fillId="0" borderId="16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84" fillId="0" borderId="16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86" fillId="0" borderId="16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88" fillId="0" borderId="16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90" fillId="0" borderId="16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92" fillId="0" borderId="16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94" fillId="0" borderId="16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96" fillId="0" borderId="16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98" fillId="0" borderId="16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00" fillId="0" borderId="16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02" fillId="0" borderId="167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7004" fillId="0" borderId="167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006" fillId="0" borderId="167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7008" fillId="0" borderId="167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10" fillId="0" borderId="16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12" fillId="0" borderId="16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14" fillId="0" borderId="16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16" fillId="0" borderId="16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18" fillId="0" borderId="16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20" fillId="0" borderId="16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22" fillId="0" borderId="16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24" fillId="0" borderId="16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26" fillId="0" borderId="16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28" fillId="0" borderId="16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30" fillId="0" borderId="16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32" fillId="0" borderId="16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34" fillId="0" borderId="16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36" fillId="0" borderId="16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38" fillId="0" borderId="16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40" fillId="0" borderId="16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42" fillId="0" borderId="167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7044" fillId="0" borderId="167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046" fillId="0" borderId="167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7048" fillId="0" borderId="167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50" fillId="0" borderId="16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52" fillId="0" borderId="16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54" fillId="0" borderId="16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56" fillId="0" borderId="16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58" fillId="0" borderId="16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60" fillId="0" borderId="16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62" fillId="0" borderId="16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64" fillId="0" borderId="16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66" fillId="0" borderId="16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68" fillId="0" borderId="16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70" fillId="0" borderId="16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72" fillId="0" borderId="16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74" fillId="0" borderId="16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76" fillId="0" borderId="16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78" fillId="0" borderId="16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80" fillId="0" borderId="16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82" fillId="0" borderId="168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7084" fillId="0" borderId="16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086" fillId="0" borderId="16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7088" fillId="0" borderId="16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90" fillId="0" borderId="16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92" fillId="0" borderId="16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94" fillId="0" borderId="16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96" fillId="0" borderId="16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98" fillId="0" borderId="16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00" fillId="0" borderId="16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02" fillId="0" borderId="16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04" fillId="0" borderId="16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06" fillId="0" borderId="16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08" fillId="0" borderId="16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10" fillId="0" borderId="16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12" fillId="0" borderId="16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14" fillId="0" borderId="16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16" fillId="0" borderId="16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18" fillId="0" borderId="16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20" fillId="0" borderId="16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22" fillId="0" borderId="168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7124" fillId="0" borderId="16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126" fillId="0" borderId="168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7128" fillId="0" borderId="168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30" fillId="0" borderId="16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32" fillId="0" borderId="16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34" fillId="0" borderId="16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36" fillId="0" borderId="16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38" fillId="0" borderId="16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40" fillId="0" borderId="16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42" fillId="0" borderId="16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44" fillId="0" borderId="16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46" fillId="0" borderId="16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48" fillId="0" borderId="16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50" fillId="0" borderId="16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52" fillId="0" borderId="16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54" fillId="0" borderId="16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56" fillId="0" borderId="16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58" fillId="0" borderId="16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60" fillId="0" borderId="16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62" fillId="0" borderId="168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7164" fillId="0" borderId="168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166" fillId="0" borderId="16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7168" fillId="0" borderId="16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70" fillId="0" borderId="16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72" fillId="0" borderId="16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74" fillId="0" borderId="16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76" fillId="0" borderId="16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78" fillId="0" borderId="16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80" fillId="0" borderId="16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82" fillId="0" borderId="16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84" fillId="0" borderId="16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86" fillId="0" borderId="16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88" fillId="0" borderId="16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90" fillId="0" borderId="16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92" fillId="0" borderId="16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94" fillId="0" borderId="16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96" fillId="0" borderId="16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98" fillId="0" borderId="16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00" fillId="0" borderId="16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02" fillId="0" borderId="168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7204" fillId="0" borderId="168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206" fillId="0" borderId="168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7208" fillId="0" borderId="16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10" fillId="0" borderId="16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12" fillId="0" borderId="16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14" fillId="0" borderId="16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16" fillId="0" borderId="16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18" fillId="0" borderId="16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20" fillId="0" borderId="16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22" fillId="0" borderId="16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24" fillId="0" borderId="16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26" fillId="0" borderId="16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28" fillId="0" borderId="16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30" fillId="0" borderId="16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32" fillId="0" borderId="16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34" fillId="0" borderId="16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36" fillId="0" borderId="16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38" fillId="0" borderId="16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40" fillId="0" borderId="16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42" fillId="0" borderId="168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7244" fillId="0" borderId="16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246" fillId="0" borderId="168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7248" fillId="0" borderId="168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50" fillId="0" borderId="16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52" fillId="0" borderId="16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54" fillId="0" borderId="16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56" fillId="0" borderId="16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58" fillId="0" borderId="16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60" fillId="0" borderId="16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62" fillId="0" borderId="16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64" fillId="0" borderId="16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66" fillId="0" borderId="16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68" fillId="0" borderId="16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70" fillId="0" borderId="16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72" fillId="0" borderId="16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74" fillId="0" borderId="16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76" fillId="0" borderId="16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78" fillId="0" borderId="16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80" fillId="0" borderId="16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82" fillId="0" borderId="169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7284" fillId="0" borderId="169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286" fillId="0" borderId="16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7288" fillId="0" borderId="169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90" fillId="0" borderId="16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92" fillId="0" borderId="16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94" fillId="0" borderId="16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96" fillId="0" borderId="16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98" fillId="0" borderId="16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00" fillId="0" borderId="16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02" fillId="0" borderId="16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04" fillId="0" borderId="16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06" fillId="0" borderId="16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08" fillId="0" borderId="16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10" fillId="0" borderId="16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12" fillId="0" borderId="16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14" fillId="0" borderId="16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16" fillId="0" borderId="16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18" fillId="0" borderId="16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20" fillId="0" borderId="16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22" fillId="0" borderId="169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7324" fillId="0" borderId="16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326" fillId="0" borderId="169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7328" fillId="0" borderId="169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30" fillId="0" borderId="16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32" fillId="0" borderId="16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34" fillId="0" borderId="16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36" fillId="0" borderId="16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38" fillId="0" borderId="16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40" fillId="0" borderId="16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42" fillId="0" borderId="16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44" fillId="0" borderId="16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46" fillId="0" borderId="16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48" fillId="0" borderId="16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50" fillId="0" borderId="16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52" fillId="0" borderId="16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54" fillId="0" borderId="16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56" fillId="0" borderId="16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58" fillId="0" borderId="16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60" fillId="0" borderId="16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62" fillId="0" borderId="169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7364" fillId="0" borderId="16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366" fillId="0" borderId="169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7368" fillId="0" borderId="169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70" fillId="0" borderId="16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72" fillId="0" borderId="16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74" fillId="0" borderId="16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76" fillId="0" borderId="16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78" fillId="0" borderId="16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80" fillId="0" borderId="16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82" fillId="0" borderId="16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84" fillId="0" borderId="16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86" fillId="0" borderId="16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88" fillId="0" borderId="16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90" fillId="0" borderId="16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92" fillId="0" borderId="16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94" fillId="0" borderId="16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96" fillId="0" borderId="16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98" fillId="0" borderId="16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00" fillId="0" borderId="16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02" fillId="384" borderId="16964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7404" fillId="385" borderId="16965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406" fillId="386" borderId="16966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7408" fillId="387" borderId="16967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10" fillId="0" borderId="16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12" fillId="0" borderId="16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14" fillId="0" borderId="16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16" fillId="0" borderId="16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18" fillId="0" borderId="16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20" fillId="0" borderId="16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22" fillId="0" borderId="16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24" fillId="0" borderId="16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26" fillId="0" borderId="16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28" fillId="0" borderId="16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30" fillId="0" borderId="16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32" fillId="0" borderId="16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34" fillId="0" borderId="16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36" fillId="0" borderId="16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38" fillId="0" borderId="16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40" fillId="0" borderId="16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42" fillId="0" borderId="16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44" fillId="0" borderId="16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46" fillId="0" borderId="16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48" fillId="0" borderId="16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50" fillId="0" borderId="16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52" fillId="0" borderId="16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54" fillId="0" borderId="16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56" fillId="0" borderId="16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58" fillId="0" borderId="16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60" fillId="0" borderId="16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62" fillId="0" borderId="16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64" fillId="0" borderId="16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66" fillId="0" borderId="16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68" fillId="0" borderId="16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70" fillId="0" borderId="16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72" fillId="0" borderId="16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74" fillId="0" borderId="17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76" fillId="0" borderId="17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78" fillId="0" borderId="17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80" fillId="0" borderId="17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82" fillId="0" borderId="17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84" fillId="0" borderId="17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86" fillId="0" borderId="17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88" fillId="0" borderId="17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90" fillId="0" borderId="17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92" fillId="0" borderId="17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94" fillId="0" borderId="17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96" fillId="0" borderId="17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98" fillId="0" borderId="17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00" fillId="0" borderId="17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02" fillId="0" borderId="17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04" fillId="0" borderId="17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06" fillId="0" borderId="17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08" fillId="0" borderId="17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10" fillId="0" borderId="17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12" fillId="0" borderId="17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14" fillId="0" borderId="17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16" fillId="0" borderId="17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18" fillId="0" borderId="17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20" fillId="0" borderId="17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7024" xfId="0"/>
    <xf numFmtId="0" fontId="27522" fillId="0" borderId="17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24" fillId="0" borderId="17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26" fillId="0" borderId="17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28" fillId="0" borderId="17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30" fillId="0" borderId="17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32" fillId="0" borderId="17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34" fillId="0" borderId="17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36" fillId="0" borderId="17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38" fillId="0" borderId="17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40" fillId="0" borderId="17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42" fillId="0" borderId="17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44" fillId="0" borderId="17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46" fillId="0" borderId="17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48" fillId="0" borderId="17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50" fillId="0" borderId="17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52" fillId="0" borderId="17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54" fillId="0" borderId="17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56" fillId="0" borderId="17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58" fillId="0" borderId="17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60" fillId="0" borderId="17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62" fillId="0" borderId="17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64" fillId="0" borderId="170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66" fillId="0" borderId="170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68" fillId="0" borderId="17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70" fillId="0" borderId="17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72" fillId="0" borderId="17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74" fillId="0" borderId="17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76" fillId="0" borderId="17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78" fillId="0" borderId="17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80" fillId="0" borderId="17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82" fillId="0" borderId="17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84" fillId="0" borderId="17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86" fillId="0" borderId="17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88" fillId="0" borderId="17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90" fillId="0" borderId="17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92" fillId="0" borderId="17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94" fillId="0" borderId="17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96" fillId="0" borderId="17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98" fillId="0" borderId="17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00" fillId="0" borderId="17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02" fillId="0" borderId="170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604" fillId="0" borderId="17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06" fillId="0" borderId="17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08" fillId="0" borderId="17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10" fillId="0" borderId="17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12" fillId="0" borderId="17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14" fillId="0" borderId="17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16" fillId="0" borderId="17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18" fillId="0" borderId="17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20" fillId="0" borderId="17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22" fillId="0" borderId="17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24" fillId="0" borderId="17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26" fillId="0" borderId="17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28" fillId="0" borderId="17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30" fillId="0" borderId="17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32" fillId="0" borderId="17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34" fillId="0" borderId="17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36" fillId="0" borderId="17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38" fillId="0" borderId="17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40" fillId="0" borderId="17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42" fillId="0" borderId="170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7644" fillId="0" borderId="170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646" fillId="0" borderId="170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48" fillId="0" borderId="17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50" fillId="0" borderId="17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52" fillId="0" borderId="17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54" fillId="0" borderId="17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56" fillId="0" borderId="17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58" fillId="0" borderId="17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60" fillId="0" borderId="17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62" fillId="0" borderId="17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64" fillId="0" borderId="17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66" fillId="0" borderId="17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68" fillId="0" borderId="17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70" fillId="0" borderId="17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72" fillId="0" borderId="17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74" fillId="0" borderId="17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76" fillId="0" borderId="17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78" fillId="0" borderId="17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80" fillId="0" borderId="17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82" fillId="0" borderId="171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7684" fillId="0" borderId="17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686" fillId="0" borderId="17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88" fillId="0" borderId="17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90" fillId="0" borderId="17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92" fillId="0" borderId="17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94" fillId="0" borderId="17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96" fillId="0" borderId="17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98" fillId="0" borderId="17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00" fillId="0" borderId="17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02" fillId="0" borderId="17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04" fillId="0" borderId="17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06" fillId="0" borderId="17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08" fillId="0" borderId="17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10" fillId="0" borderId="17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12" fillId="0" borderId="17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14" fillId="0" borderId="17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16" fillId="0" borderId="17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18" fillId="0" borderId="17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20" fillId="0" borderId="17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22" fillId="0" borderId="171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7724" fillId="0" borderId="17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726" fillId="0" borderId="17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28" fillId="0" borderId="17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30" fillId="0" borderId="17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32" fillId="0" borderId="17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34" fillId="0" borderId="17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36" fillId="0" borderId="17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38" fillId="0" borderId="17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40" fillId="0" borderId="17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42" fillId="0" borderId="17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44" fillId="0" borderId="17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46" fillId="0" borderId="17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48" fillId="0" borderId="17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50" fillId="0" borderId="17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52" fillId="0" borderId="17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54" fillId="0" borderId="17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56" fillId="0" borderId="17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58" fillId="0" borderId="17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60" fillId="0" borderId="17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62" fillId="0" borderId="171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7764" fillId="0" borderId="17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766" fillId="0" borderId="17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68" fillId="0" borderId="17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70" fillId="0" borderId="17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72" fillId="0" borderId="17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74" fillId="0" borderId="17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76" fillId="0" borderId="17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78" fillId="0" borderId="17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80" fillId="0" borderId="17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82" fillId="0" borderId="17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84" fillId="0" borderId="17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86" fillId="0" borderId="17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88" fillId="0" borderId="17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90" fillId="0" borderId="17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92" fillId="0" borderId="17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94" fillId="0" borderId="17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96" fillId="0" borderId="17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98" fillId="0" borderId="17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00" fillId="0" borderId="17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02" fillId="0" borderId="171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7804" fillId="0" borderId="17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806" fillId="0" borderId="17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08" fillId="0" borderId="17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10" fillId="0" borderId="17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12" fillId="0" borderId="17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14" fillId="0" borderId="17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16" fillId="0" borderId="17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18" fillId="0" borderId="17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20" fillId="0" borderId="17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22" fillId="0" borderId="17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24" fillId="0" borderId="17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26" fillId="0" borderId="17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28" fillId="0" borderId="17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30" fillId="0" borderId="17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32" fillId="0" borderId="17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34" fillId="0" borderId="17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36" fillId="0" borderId="17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38" fillId="0" borderId="17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40" fillId="0" borderId="17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42" fillId="0" borderId="171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7844" fillId="0" borderId="17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846" fillId="0" borderId="17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48" fillId="0" borderId="17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50" fillId="0" borderId="17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52" fillId="0" borderId="17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54" fillId="0" borderId="17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56" fillId="0" borderId="17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58" fillId="0" borderId="17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60" fillId="0" borderId="17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62" fillId="0" borderId="17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64" fillId="0" borderId="17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66" fillId="0" borderId="17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68" fillId="0" borderId="17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70" fillId="0" borderId="17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72" fillId="0" borderId="17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74" fillId="0" borderId="17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76" fillId="0" borderId="17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78" fillId="0" borderId="17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80" fillId="0" borderId="17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82" fillId="0" borderId="172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7884" fillId="0" borderId="17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886" fillId="0" borderId="17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88" fillId="0" borderId="17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90" fillId="0" borderId="17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92" fillId="0" borderId="17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94" fillId="0" borderId="17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96" fillId="0" borderId="17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98" fillId="0" borderId="17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00" fillId="0" borderId="17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02" fillId="0" borderId="17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04" fillId="0" borderId="17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06" fillId="0" borderId="17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08" fillId="0" borderId="17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10" fillId="0" borderId="17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12" fillId="0" borderId="17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14" fillId="0" borderId="17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16" fillId="0" borderId="17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18" fillId="0" borderId="17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20" fillId="0" borderId="17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22" fillId="0" borderId="172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7924" fillId="0" borderId="17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926" fillId="0" borderId="17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28" fillId="0" borderId="17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30" fillId="0" borderId="17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32" fillId="0" borderId="17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34" fillId="0" borderId="17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36" fillId="0" borderId="17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38" fillId="0" borderId="17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40" fillId="0" borderId="17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42" fillId="0" borderId="17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44" fillId="0" borderId="17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46" fillId="0" borderId="17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48" fillId="0" borderId="17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50" fillId="0" borderId="17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52" fillId="0" borderId="17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54" fillId="0" borderId="17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56" fillId="0" borderId="17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58" fillId="0" borderId="17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60" fillId="0" borderId="17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62" fillId="0" borderId="172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7964" fillId="0" borderId="17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966" fillId="0" borderId="17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68" fillId="0" borderId="17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70" fillId="0" borderId="17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72" fillId="0" borderId="17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74" fillId="0" borderId="17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76" fillId="0" borderId="17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78" fillId="0" borderId="17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80" fillId="0" borderId="17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82" fillId="0" borderId="17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84" fillId="0" borderId="17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86" fillId="0" borderId="17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88" fillId="0" borderId="17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90" fillId="0" borderId="17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92" fillId="0" borderId="17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94" fillId="0" borderId="17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96" fillId="0" borderId="17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98" fillId="0" borderId="17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00" fillId="0" borderId="17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02" fillId="0" borderId="172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8004" fillId="0" borderId="17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006" fillId="0" borderId="17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08" fillId="0" borderId="17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10" fillId="0" borderId="17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12" fillId="0" borderId="17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14" fillId="0" borderId="17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16" fillId="0" borderId="17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18" fillId="0" borderId="17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20" fillId="0" borderId="17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22" fillId="0" borderId="17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24" fillId="0" borderId="17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26" fillId="0" borderId="17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28" fillId="0" borderId="17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30" fillId="0" borderId="17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32" fillId="0" borderId="17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34" fillId="0" borderId="17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36" fillId="0" borderId="17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38" fillId="0" borderId="17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40" fillId="0" borderId="17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42" fillId="0" borderId="172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8044" fillId="0" borderId="17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046" fillId="0" borderId="172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48" fillId="0" borderId="17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50" fillId="0" borderId="17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52" fillId="0" borderId="17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54" fillId="0" borderId="17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56" fillId="0" borderId="17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58" fillId="0" borderId="17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60" fillId="0" borderId="17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62" fillId="0" borderId="17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64" fillId="0" borderId="17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66" fillId="0" borderId="17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68" fillId="0" borderId="17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70" fillId="0" borderId="17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72" fillId="0" borderId="17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74" fillId="0" borderId="17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76" fillId="0" borderId="17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78" fillId="0" borderId="17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80" fillId="0" borderId="17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82" fillId="0" borderId="173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8084" fillId="0" borderId="17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086" fillId="0" borderId="173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88" fillId="0" borderId="17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90" fillId="0" borderId="17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92" fillId="0" borderId="17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94" fillId="0" borderId="17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96" fillId="0" borderId="17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98" fillId="0" borderId="17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00" fillId="0" borderId="17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02" fillId="0" borderId="17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04" fillId="0" borderId="17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06" fillId="0" borderId="17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08" fillId="0" borderId="17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10" fillId="0" borderId="17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12" fillId="0" borderId="17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14" fillId="0" borderId="17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16" fillId="0" borderId="17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18" fillId="0" borderId="17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20" fillId="0" borderId="17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22" fillId="0" borderId="173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8124" fillId="0" borderId="17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126" fillId="0" borderId="17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128" fillId="0" borderId="17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30" fillId="0" borderId="17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32" fillId="0" borderId="17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34" fillId="0" borderId="17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36" fillId="0" borderId="17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38" fillId="0" borderId="17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40" fillId="0" borderId="17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42" fillId="0" borderId="17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44" fillId="0" borderId="17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46" fillId="0" borderId="17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48" fillId="0" borderId="17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50" fillId="0" borderId="17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52" fillId="0" borderId="17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54" fillId="0" borderId="17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56" fillId="0" borderId="17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58" fillId="0" borderId="17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60" fillId="0" borderId="17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62" fillId="0" borderId="173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8164" fillId="0" borderId="17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166" fillId="0" borderId="17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168" fillId="0" borderId="17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70" fillId="0" borderId="17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72" fillId="0" borderId="17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74" fillId="0" borderId="17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76" fillId="0" borderId="17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78" fillId="0" borderId="17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80" fillId="0" borderId="17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82" fillId="0" borderId="17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84" fillId="0" borderId="17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86" fillId="0" borderId="17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88" fillId="0" borderId="17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90" fillId="0" borderId="17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92" fillId="0" borderId="17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94" fillId="0" borderId="17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96" fillId="0" borderId="17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98" fillId="0" borderId="17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00" fillId="0" borderId="17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02" fillId="388" borderId="17365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8204" fillId="389" borderId="17366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206" fillId="390" borderId="17367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208" fillId="0" borderId="17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10" fillId="0" borderId="17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12" fillId="0" borderId="17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14" fillId="0" borderId="17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16" fillId="0" borderId="17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18" fillId="0" borderId="17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20" fillId="0" borderId="17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22" fillId="0" borderId="17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24" fillId="0" borderId="17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26" fillId="0" borderId="17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28" fillId="0" borderId="17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30" fillId="0" borderId="17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32" fillId="0" borderId="17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34" fillId="0" borderId="17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36" fillId="0" borderId="17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38" fillId="0" borderId="17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40" fillId="0" borderId="17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42" fillId="0" borderId="17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44" fillId="0" borderId="17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46" fillId="0" borderId="17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48" fillId="0" borderId="17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50" fillId="0" borderId="17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52" fillId="0" borderId="17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54" fillId="0" borderId="17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56" fillId="0" borderId="17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58" fillId="0" borderId="17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60" fillId="0" borderId="17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62" fillId="0" borderId="17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64" fillId="0" borderId="17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66" fillId="0" borderId="17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68" fillId="0" borderId="17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70" fillId="0" borderId="17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72" fillId="0" borderId="17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74" fillId="0" borderId="17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76" fillId="0" borderId="17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78" fillId="0" borderId="17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80" fillId="0" borderId="17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82" fillId="0" borderId="17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84" fillId="0" borderId="17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86" fillId="0" borderId="17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88" fillId="0" borderId="17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90" fillId="0" borderId="17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92" fillId="0" borderId="17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94" fillId="0" borderId="17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96" fillId="0" borderId="17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98" fillId="0" borderId="17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00" fillId="0" borderId="17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02" fillId="0" borderId="17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04" fillId="0" borderId="17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06" fillId="0" borderId="17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08" fillId="0" borderId="17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10" fillId="0" borderId="17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12" fillId="0" borderId="17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14" fillId="0" borderId="17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16" fillId="0" borderId="17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18" fillId="0" borderId="17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20" fillId="0" borderId="17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7425" xfId="0"/>
    <xf numFmtId="0" fontId="28322" fillId="0" borderId="17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24" fillId="0" borderId="17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26" fillId="0" borderId="17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28" fillId="0" borderId="17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30" fillId="0" borderId="17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32" fillId="0" borderId="17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34" fillId="0" borderId="17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36" fillId="0" borderId="17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38" fillId="0" borderId="17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40" fillId="0" borderId="17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42" fillId="0" borderId="17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44" fillId="0" borderId="17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46" fillId="0" borderId="17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48" fillId="0" borderId="17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50" fillId="0" borderId="17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52" fillId="0" borderId="17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54" fillId="0" borderId="17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56" fillId="0" borderId="17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58" fillId="0" borderId="17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60" fillId="0" borderId="17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62" fillId="0" borderId="17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64" fillId="0" borderId="174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366" fillId="0" borderId="17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368" fillId="0" borderId="17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70" fillId="0" borderId="17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72" fillId="0" borderId="17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74" fillId="0" borderId="17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76" fillId="0" borderId="17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78" fillId="0" borderId="17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80" fillId="0" borderId="17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82" fillId="0" borderId="17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84" fillId="0" borderId="17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86" fillId="0" borderId="17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88" fillId="0" borderId="17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90" fillId="0" borderId="17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92" fillId="0" borderId="17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94" fillId="0" borderId="17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96" fillId="0" borderId="17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98" fillId="0" borderId="17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00" fillId="0" borderId="17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02" fillId="0" borderId="174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404" fillId="0" borderId="17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06" fillId="0" borderId="17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08" fillId="0" borderId="17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10" fillId="0" borderId="17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12" fillId="0" borderId="17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14" fillId="0" borderId="17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16" fillId="0" borderId="17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18" fillId="0" borderId="17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20" fillId="0" borderId="17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22" fillId="0" borderId="17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24" fillId="0" borderId="17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26" fillId="0" borderId="17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28" fillId="0" borderId="17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30" fillId="0" borderId="17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32" fillId="0" borderId="17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34" fillId="0" borderId="17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36" fillId="0" borderId="17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38" fillId="0" borderId="17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40" fillId="0" borderId="17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42" fillId="0" borderId="174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8444" fillId="0" borderId="17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446" fillId="0" borderId="17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48" fillId="0" borderId="17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50" fillId="0" borderId="17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52" fillId="0" borderId="17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54" fillId="0" borderId="17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56" fillId="0" borderId="17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58" fillId="0" borderId="17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60" fillId="0" borderId="17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62" fillId="0" borderId="17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64" fillId="0" borderId="17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66" fillId="0" borderId="17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68" fillId="0" borderId="17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70" fillId="0" borderId="17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72" fillId="0" borderId="17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74" fillId="0" borderId="17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76" fillId="0" borderId="17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78" fillId="0" borderId="17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80" fillId="0" borderId="17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82" fillId="0" borderId="175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8484" fillId="0" borderId="17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486" fillId="0" borderId="175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88" fillId="0" borderId="17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90" fillId="0" borderId="17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92" fillId="0" borderId="17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94" fillId="0" borderId="17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96" fillId="0" borderId="17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98" fillId="0" borderId="17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00" fillId="0" borderId="17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02" fillId="0" borderId="17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04" fillId="0" borderId="17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06" fillId="0" borderId="17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08" fillId="0" borderId="17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10" fillId="0" borderId="17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12" fillId="0" borderId="17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14" fillId="0" borderId="17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16" fillId="0" borderId="17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18" fillId="0" borderId="17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20" fillId="0" borderId="17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22" fillId="0" borderId="175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8524" fillId="0" borderId="17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526" fillId="0" borderId="17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528" fillId="0" borderId="17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30" fillId="0" borderId="17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32" fillId="0" borderId="17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34" fillId="0" borderId="17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36" fillId="0" borderId="17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38" fillId="0" borderId="17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40" fillId="0" borderId="17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42" fillId="0" borderId="17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44" fillId="0" borderId="17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46" fillId="0" borderId="17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48" fillId="0" borderId="17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50" fillId="0" borderId="17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52" fillId="0" borderId="17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54" fillId="0" borderId="17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56" fillId="0" borderId="17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58" fillId="0" borderId="17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60" fillId="0" borderId="17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62" fillId="0" borderId="175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8564" fillId="0" borderId="17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566" fillId="0" borderId="17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568" fillId="0" borderId="17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70" fillId="0" borderId="17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72" fillId="0" borderId="17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74" fillId="0" borderId="17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76" fillId="0" borderId="17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78" fillId="0" borderId="17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80" fillId="0" borderId="17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82" fillId="0" borderId="17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84" fillId="0" borderId="17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86" fillId="0" borderId="17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88" fillId="0" borderId="17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90" fillId="0" borderId="17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92" fillId="0" borderId="17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94" fillId="0" borderId="17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96" fillId="0" borderId="17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98" fillId="0" borderId="17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00" fillId="0" borderId="17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02" fillId="0" borderId="175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8604" fillId="0" borderId="17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606" fillId="0" borderId="175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08" fillId="0" borderId="17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10" fillId="0" borderId="17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12" fillId="0" borderId="17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14" fillId="0" borderId="17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16" fillId="0" borderId="17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18" fillId="0" borderId="17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20" fillId="0" borderId="17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22" fillId="0" borderId="17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24" fillId="0" borderId="17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26" fillId="0" borderId="17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28" fillId="0" borderId="17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30" fillId="0" borderId="17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32" fillId="0" borderId="17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34" fillId="0" borderId="17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36" fillId="0" borderId="17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38" fillId="0" borderId="17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40" fillId="0" borderId="17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42" fillId="0" borderId="175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8644" fillId="0" borderId="175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646" fillId="0" borderId="17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48" fillId="0" borderId="17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50" fillId="0" borderId="17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52" fillId="0" borderId="17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54" fillId="0" borderId="17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56" fillId="0" borderId="17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58" fillId="0" borderId="17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60" fillId="0" borderId="17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62" fillId="0" borderId="17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64" fillId="0" borderId="17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66" fillId="0" borderId="17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68" fillId="0" borderId="17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70" fillId="0" borderId="17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72" fillId="0" borderId="17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74" fillId="0" borderId="17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76" fillId="0" borderId="17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78" fillId="0" borderId="17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80" fillId="0" borderId="17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82" fillId="0" borderId="176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8684" fillId="0" borderId="176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686" fillId="0" borderId="17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88" fillId="0" borderId="17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90" fillId="0" borderId="17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92" fillId="0" borderId="17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94" fillId="0" borderId="17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96" fillId="0" borderId="17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98" fillId="0" borderId="17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00" fillId="0" borderId="17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02" fillId="0" borderId="17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04" fillId="0" borderId="17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06" fillId="0" borderId="17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08" fillId="0" borderId="17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10" fillId="0" borderId="17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12" fillId="0" borderId="17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14" fillId="0" borderId="17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16" fillId="0" borderId="17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18" fillId="0" borderId="17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20" fillId="0" borderId="17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22" fillId="0" borderId="176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8724" fillId="0" borderId="176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726" fillId="0" borderId="176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728" fillId="0" borderId="17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30" fillId="0" borderId="17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32" fillId="0" borderId="17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34" fillId="0" borderId="17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36" fillId="0" borderId="17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38" fillId="0" borderId="17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40" fillId="0" borderId="17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42" fillId="0" borderId="17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44" fillId="0" borderId="17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46" fillId="0" borderId="17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48" fillId="0" borderId="17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50" fillId="0" borderId="17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52" fillId="0" borderId="17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54" fillId="0" borderId="17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56" fillId="0" borderId="17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58" fillId="0" borderId="17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60" fillId="0" borderId="17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62" fillId="0" borderId="176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8764" fillId="0" borderId="176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766" fillId="0" borderId="17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768" fillId="0" borderId="17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70" fillId="0" borderId="17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72" fillId="0" borderId="17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74" fillId="0" borderId="17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76" fillId="0" borderId="17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78" fillId="0" borderId="17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80" fillId="0" borderId="17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82" fillId="0" borderId="17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84" fillId="0" borderId="17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86" fillId="0" borderId="17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88" fillId="0" borderId="17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90" fillId="0" borderId="17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92" fillId="0" borderId="17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94" fillId="0" borderId="17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96" fillId="0" borderId="17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98" fillId="0" borderId="17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00" fillId="0" borderId="17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02" fillId="0" borderId="176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8804" fillId="0" borderId="17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806" fillId="0" borderId="176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808" fillId="0" borderId="17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10" fillId="0" borderId="17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12" fillId="0" borderId="17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14" fillId="0" borderId="17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16" fillId="0" borderId="17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18" fillId="0" borderId="17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20" fillId="0" borderId="17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22" fillId="0" borderId="17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24" fillId="0" borderId="17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26" fillId="0" borderId="17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28" fillId="0" borderId="17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30" fillId="0" borderId="17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32" fillId="0" borderId="17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34" fillId="0" borderId="17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36" fillId="0" borderId="17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38" fillId="0" borderId="17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40" fillId="0" borderId="17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42" fillId="0" borderId="176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8844" fillId="0" borderId="176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846" fillId="0" borderId="176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848" fillId="0" borderId="17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50" fillId="0" borderId="17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52" fillId="0" borderId="17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54" fillId="0" borderId="17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56" fillId="0" borderId="17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58" fillId="0" borderId="17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60" fillId="0" borderId="17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62" fillId="0" borderId="17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64" fillId="0" borderId="17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66" fillId="0" borderId="17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68" fillId="0" borderId="17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70" fillId="0" borderId="17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72" fillId="0" borderId="17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74" fillId="0" borderId="17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76" fillId="0" borderId="17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78" fillId="0" borderId="17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80" fillId="0" borderId="17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82" fillId="0" borderId="177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8884" fillId="0" borderId="177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886" fillId="0" borderId="17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888" fillId="0" borderId="17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90" fillId="0" borderId="17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92" fillId="0" borderId="17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94" fillId="0" borderId="17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96" fillId="0" borderId="17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98" fillId="0" borderId="17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00" fillId="0" borderId="17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02" fillId="0" borderId="17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04" fillId="0" borderId="17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06" fillId="0" borderId="17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08" fillId="0" borderId="17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10" fillId="0" borderId="17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12" fillId="0" borderId="17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14" fillId="0" borderId="17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16" fillId="0" borderId="17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18" fillId="0" borderId="17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20" fillId="0" borderId="17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22" fillId="0" borderId="177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8924" fillId="0" borderId="17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926" fillId="0" borderId="17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928" fillId="0" borderId="17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30" fillId="0" borderId="17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32" fillId="0" borderId="17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34" fillId="0" borderId="17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36" fillId="0" borderId="17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38" fillId="0" borderId="17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40" fillId="0" borderId="17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42" fillId="0" borderId="17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44" fillId="0" borderId="17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46" fillId="0" borderId="17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48" fillId="0" borderId="17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50" fillId="0" borderId="17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52" fillId="0" borderId="17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54" fillId="0" borderId="17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56" fillId="0" borderId="17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58" fillId="0" borderId="17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60" fillId="0" borderId="17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62" fillId="0" borderId="177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8964" fillId="0" borderId="177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966" fillId="0" borderId="177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968" fillId="0" borderId="17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70" fillId="0" borderId="17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72" fillId="0" borderId="17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74" fillId="0" borderId="17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76" fillId="0" borderId="17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78" fillId="0" borderId="17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80" fillId="0" borderId="17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82" fillId="0" borderId="17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84" fillId="0" borderId="17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86" fillId="0" borderId="17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88" fillId="0" borderId="17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90" fillId="0" borderId="17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92" fillId="0" borderId="17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94" fillId="0" borderId="17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96" fillId="0" borderId="17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98" fillId="0" borderId="17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00" fillId="0" borderId="17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02" fillId="391" borderId="17766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9004" fillId="392" borderId="17767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006" fillId="393" borderId="17768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008" fillId="0" borderId="17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10" fillId="0" borderId="17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12" fillId="0" borderId="17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14" fillId="0" borderId="17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16" fillId="0" borderId="17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18" fillId="0" borderId="17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20" fillId="0" borderId="17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22" fillId="0" borderId="17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24" fillId="0" borderId="17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26" fillId="0" borderId="17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28" fillId="0" borderId="17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30" fillId="0" borderId="17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32" fillId="0" borderId="17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34" fillId="0" borderId="17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36" fillId="0" borderId="17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38" fillId="0" borderId="17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40" fillId="0" borderId="17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42" fillId="0" borderId="17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44" fillId="0" borderId="17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46" fillId="0" borderId="17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48" fillId="0" borderId="17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50" fillId="0" borderId="17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52" fillId="0" borderId="17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54" fillId="0" borderId="17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56" fillId="0" borderId="17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58" fillId="0" borderId="17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60" fillId="0" borderId="17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62" fillId="0" borderId="17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64" fillId="0" borderId="17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66" fillId="0" borderId="17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68" fillId="0" borderId="17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70" fillId="0" borderId="17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72" fillId="0" borderId="17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74" fillId="0" borderId="17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76" fillId="0" borderId="17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78" fillId="0" borderId="17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80" fillId="0" borderId="17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82" fillId="0" borderId="17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84" fillId="0" borderId="17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86" fillId="0" borderId="17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88" fillId="0" borderId="17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90" fillId="0" borderId="17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92" fillId="0" borderId="17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94" fillId="0" borderId="17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96" fillId="0" borderId="17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98" fillId="0" borderId="17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00" fillId="0" borderId="17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02" fillId="0" borderId="17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04" fillId="0" borderId="17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06" fillId="0" borderId="17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08" fillId="0" borderId="17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10" fillId="0" borderId="17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12" fillId="0" borderId="17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14" fillId="0" borderId="17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16" fillId="0" borderId="17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18" fillId="0" borderId="17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20" fillId="0" borderId="17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7826" xfId="0"/>
    <xf numFmtId="0" fontId="29122" fillId="0" borderId="17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24" fillId="0" borderId="17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26" fillId="0" borderId="17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28" fillId="0" borderId="17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30" fillId="0" borderId="17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32" fillId="0" borderId="17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34" fillId="0" borderId="17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36" fillId="0" borderId="17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38" fillId="0" borderId="17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40" fillId="0" borderId="17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42" fillId="0" borderId="17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44" fillId="0" borderId="17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46" fillId="0" borderId="17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48" fillId="0" borderId="17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50" fillId="0" borderId="17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52" fillId="0" borderId="17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54" fillId="0" borderId="17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56" fillId="0" borderId="17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58" fillId="0" borderId="17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60" fillId="0" borderId="17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62" fillId="0" borderId="17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64" fillId="0" borderId="178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166" fillId="0" borderId="17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168" fillId="0" borderId="17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70" fillId="0" borderId="17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72" fillId="0" borderId="17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74" fillId="0" borderId="17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76" fillId="0" borderId="17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78" fillId="0" borderId="17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80" fillId="0" borderId="17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82" fillId="0" borderId="17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84" fillId="0" borderId="17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86" fillId="0" borderId="17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88" fillId="0" borderId="17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90" fillId="0" borderId="17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92" fillId="0" borderId="17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94" fillId="0" borderId="17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96" fillId="0" borderId="17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98" fillId="0" borderId="17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00" fillId="0" borderId="17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02" fillId="0" borderId="178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204" fillId="0" borderId="17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06" fillId="0" borderId="17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08" fillId="0" borderId="17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10" fillId="0" borderId="17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12" fillId="0" borderId="17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14" fillId="0" borderId="17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16" fillId="0" borderId="17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18" fillId="0" borderId="17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20" fillId="0" borderId="17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22" fillId="0" borderId="17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24" fillId="0" borderId="17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26" fillId="0" borderId="17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28" fillId="0" borderId="17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30" fillId="0" borderId="17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32" fillId="0" borderId="17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34" fillId="0" borderId="17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36" fillId="0" borderId="17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38" fillId="0" borderId="17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40" fillId="0" borderId="17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42" fillId="0" borderId="178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9244" fillId="0" borderId="17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246" fillId="0" borderId="17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248" fillId="0" borderId="17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50" fillId="0" borderId="17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52" fillId="0" borderId="17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54" fillId="0" borderId="17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56" fillId="0" borderId="17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58" fillId="0" borderId="17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60" fillId="0" borderId="17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62" fillId="0" borderId="17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64" fillId="0" borderId="17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66" fillId="0" borderId="17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68" fillId="0" borderId="17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70" fillId="0" borderId="17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72" fillId="0" borderId="17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74" fillId="0" borderId="17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76" fillId="0" borderId="17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78" fillId="0" borderId="17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80" fillId="0" borderId="17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82" fillId="0" borderId="179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9284" fillId="0" borderId="179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286" fillId="0" borderId="17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288" fillId="0" borderId="17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90" fillId="0" borderId="17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92" fillId="0" borderId="17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94" fillId="0" borderId="17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96" fillId="0" borderId="17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98" fillId="0" borderId="17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00" fillId="0" borderId="17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02" fillId="0" borderId="17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04" fillId="0" borderId="17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06" fillId="0" borderId="17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08" fillId="0" borderId="17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10" fillId="0" borderId="17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12" fillId="0" borderId="17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14" fillId="0" borderId="17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16" fillId="0" borderId="17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18" fillId="0" borderId="17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20" fillId="0" borderId="17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22" fillId="0" borderId="179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9324" fillId="0" borderId="179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326" fillId="0" borderId="179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328" fillId="0" borderId="17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30" fillId="0" borderId="17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32" fillId="0" borderId="17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34" fillId="0" borderId="17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36" fillId="0" borderId="17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38" fillId="0" borderId="17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40" fillId="0" borderId="17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42" fillId="0" borderId="17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44" fillId="0" borderId="17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46" fillId="0" borderId="17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48" fillId="0" borderId="17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50" fillId="0" borderId="17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52" fillId="0" borderId="17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54" fillId="0" borderId="17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56" fillId="0" borderId="17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58" fillId="0" borderId="17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60" fillId="0" borderId="17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62" fillId="0" borderId="179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9364" fillId="0" borderId="179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366" fillId="0" borderId="179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368" fillId="0" borderId="17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70" fillId="0" borderId="17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72" fillId="0" borderId="17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74" fillId="0" borderId="17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76" fillId="0" borderId="17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78" fillId="0" borderId="17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80" fillId="0" borderId="17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82" fillId="0" borderId="17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84" fillId="0" borderId="17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86" fillId="0" borderId="17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88" fillId="0" borderId="17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90" fillId="0" borderId="17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92" fillId="0" borderId="17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94" fillId="0" borderId="17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96" fillId="0" borderId="17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98" fillId="0" borderId="17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00" fillId="0" borderId="17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02" fillId="0" borderId="179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9404" fillId="0" borderId="179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406" fillId="0" borderId="17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408" fillId="0" borderId="17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10" fillId="0" borderId="17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12" fillId="0" borderId="17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14" fillId="0" borderId="17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16" fillId="0" borderId="17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18" fillId="0" borderId="17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20" fillId="0" borderId="17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22" fillId="0" borderId="17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24" fillId="0" borderId="17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26" fillId="0" borderId="17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28" fillId="0" borderId="17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30" fillId="0" borderId="17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32" fillId="0" borderId="17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34" fillId="0" borderId="17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36" fillId="0" borderId="17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38" fillId="0" borderId="17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40" fillId="0" borderId="17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42" fillId="0" borderId="179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9444" fillId="0" borderId="179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446" fillId="0" borderId="179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448" fillId="0" borderId="17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50" fillId="0" borderId="17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52" fillId="0" borderId="17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54" fillId="0" borderId="17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56" fillId="0" borderId="17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58" fillId="0" borderId="17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60" fillId="0" borderId="17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62" fillId="0" borderId="17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64" fillId="0" borderId="17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66" fillId="0" borderId="17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68" fillId="0" borderId="18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70" fillId="0" borderId="18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72" fillId="0" borderId="18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74" fillId="0" borderId="18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76" fillId="0" borderId="18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78" fillId="0" borderId="18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80" fillId="0" borderId="18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82" fillId="0" borderId="180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9484" fillId="0" borderId="18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486" fillId="0" borderId="180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488" fillId="0" borderId="18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90" fillId="0" borderId="18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92" fillId="0" borderId="18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94" fillId="0" borderId="18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96" fillId="0" borderId="18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98" fillId="0" borderId="18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00" fillId="0" borderId="18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02" fillId="0" borderId="18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04" fillId="0" borderId="18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06" fillId="0" borderId="18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08" fillId="0" borderId="18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10" fillId="0" borderId="18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12" fillId="0" borderId="18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14" fillId="0" borderId="18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16" fillId="0" borderId="18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18" fillId="0" borderId="18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20" fillId="0" borderId="18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22" fillId="0" borderId="180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9524" fillId="0" borderId="180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526" fillId="0" borderId="18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528" fillId="0" borderId="18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30" fillId="0" borderId="18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32" fillId="0" borderId="18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34" fillId="0" borderId="18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36" fillId="0" borderId="18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38" fillId="0" borderId="18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40" fillId="0" borderId="18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42" fillId="0" borderId="18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44" fillId="0" borderId="18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46" fillId="0" borderId="18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48" fillId="0" borderId="18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50" fillId="0" borderId="18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52" fillId="0" borderId="18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54" fillId="0" borderId="18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56" fillId="0" borderId="18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58" fillId="0" borderId="18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60" fillId="0" borderId="18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62" fillId="0" borderId="180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9564" fillId="0" borderId="180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566" fillId="0" borderId="180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568" fillId="0" borderId="18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70" fillId="0" borderId="18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72" fillId="0" borderId="18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74" fillId="0" borderId="18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76" fillId="0" borderId="18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78" fillId="0" borderId="18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80" fillId="0" borderId="18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82" fillId="0" borderId="18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84" fillId="0" borderId="18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86" fillId="0" borderId="18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88" fillId="0" borderId="18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90" fillId="0" borderId="18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92" fillId="0" borderId="18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94" fillId="0" borderId="18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96" fillId="0" borderId="18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98" fillId="0" borderId="18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00" fillId="0" borderId="18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02" fillId="0" borderId="180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9604" fillId="0" borderId="180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606" fillId="0" borderId="180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608" fillId="0" borderId="18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10" fillId="0" borderId="18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12" fillId="0" borderId="18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14" fillId="0" borderId="18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16" fillId="0" borderId="18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18" fillId="0" borderId="18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20" fillId="0" borderId="18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22" fillId="0" borderId="18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24" fillId="0" borderId="18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26" fillId="0" borderId="18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28" fillId="0" borderId="18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30" fillId="0" borderId="18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32" fillId="0" borderId="18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34" fillId="0" borderId="18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36" fillId="0" borderId="18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38" fillId="0" borderId="18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40" fillId="0" borderId="18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42" fillId="0" borderId="180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9644" fillId="0" borderId="180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646" fillId="0" borderId="180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648" fillId="0" borderId="18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50" fillId="0" borderId="18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52" fillId="0" borderId="18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54" fillId="0" borderId="18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56" fillId="0" borderId="18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58" fillId="0" borderId="18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60" fillId="0" borderId="18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62" fillId="0" borderId="18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64" fillId="0" borderId="18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66" fillId="0" borderId="18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68" fillId="0" borderId="18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70" fillId="0" borderId="18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72" fillId="0" borderId="18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74" fillId="0" borderId="18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76" fillId="0" borderId="18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78" fillId="0" borderId="18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80" fillId="0" borderId="18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82" fillId="0" borderId="181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9684" fillId="0" borderId="18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686" fillId="0" borderId="18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688" fillId="0" borderId="18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90" fillId="0" borderId="18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92" fillId="0" borderId="18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94" fillId="0" borderId="18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96" fillId="0" borderId="18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98" fillId="0" borderId="18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00" fillId="0" borderId="18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02" fillId="0" borderId="18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04" fillId="0" borderId="18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06" fillId="0" borderId="18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08" fillId="0" borderId="18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10" fillId="0" borderId="18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12" fillId="0" borderId="18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14" fillId="0" borderId="18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16" fillId="0" borderId="18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18" fillId="0" borderId="18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20" fillId="0" borderId="18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22" fillId="0" borderId="181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9724" fillId="0" borderId="18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726" fillId="0" borderId="18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728" fillId="0" borderId="18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30" fillId="0" borderId="18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32" fillId="0" borderId="18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34" fillId="0" borderId="18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36" fillId="0" borderId="18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38" fillId="0" borderId="18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40" fillId="0" borderId="18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42" fillId="0" borderId="18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44" fillId="0" borderId="18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46" fillId="0" borderId="18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48" fillId="0" borderId="18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50" fillId="0" borderId="18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52" fillId="0" borderId="18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54" fillId="0" borderId="18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56" fillId="0" borderId="18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58" fillId="0" borderId="18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60" fillId="0" borderId="18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62" fillId="0" borderId="181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9764" fillId="0" borderId="18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766" fillId="0" borderId="18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768" fillId="0" borderId="18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70" fillId="0" borderId="18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72" fillId="0" borderId="18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74" fillId="0" borderId="18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76" fillId="0" borderId="18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78" fillId="0" borderId="18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80" fillId="0" borderId="18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82" fillId="0" borderId="18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84" fillId="0" borderId="18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86" fillId="0" borderId="18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88" fillId="0" borderId="18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90" fillId="0" borderId="18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92" fillId="0" borderId="18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94" fillId="0" borderId="18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96" fillId="0" borderId="18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98" fillId="0" borderId="18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00" fillId="0" borderId="18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02" fillId="394" borderId="18167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9804" fillId="395" borderId="18168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806" fillId="396" borderId="18169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808" fillId="0" borderId="18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10" fillId="0" borderId="18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12" fillId="0" borderId="18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14" fillId="0" borderId="18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16" fillId="0" borderId="18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18" fillId="0" borderId="18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20" fillId="0" borderId="18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22" fillId="0" borderId="18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24" fillId="0" borderId="18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26" fillId="0" borderId="18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28" fillId="0" borderId="18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30" fillId="0" borderId="18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32" fillId="0" borderId="18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34" fillId="0" borderId="18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36" fillId="0" borderId="18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38" fillId="0" borderId="18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40" fillId="0" borderId="18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42" fillId="0" borderId="18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44" fillId="0" borderId="18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46" fillId="0" borderId="18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48" fillId="0" borderId="18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50" fillId="0" borderId="18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52" fillId="0" borderId="18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54" fillId="0" borderId="18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56" fillId="0" borderId="18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58" fillId="0" borderId="18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60" fillId="0" borderId="18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62" fillId="0" borderId="18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64" fillId="0" borderId="18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66" fillId="0" borderId="18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68" fillId="0" borderId="18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70" fillId="0" borderId="18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72" fillId="0" borderId="18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74" fillId="0" borderId="18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76" fillId="0" borderId="18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78" fillId="0" borderId="18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80" fillId="0" borderId="18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82" fillId="0" borderId="18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84" fillId="0" borderId="18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86" fillId="0" borderId="18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88" fillId="0" borderId="18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90" fillId="0" borderId="18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92" fillId="0" borderId="18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94" fillId="0" borderId="18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96" fillId="0" borderId="18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98" fillId="0" borderId="18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00" fillId="0" borderId="18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02" fillId="0" borderId="18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04" fillId="0" borderId="18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06" fillId="0" borderId="18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08" fillId="0" borderId="18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10" fillId="0" borderId="18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12" fillId="0" borderId="18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14" fillId="0" borderId="18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16" fillId="0" borderId="18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18" fillId="0" borderId="18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20" fillId="0" borderId="18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8227" xfId="0"/>
    <xf numFmtId="0" fontId="29922" fillId="0" borderId="18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24" fillId="0" borderId="18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26" fillId="0" borderId="18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28" fillId="0" borderId="18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30" fillId="0" borderId="18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32" fillId="0" borderId="18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34" fillId="0" borderId="18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36" fillId="0" borderId="18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38" fillId="0" borderId="18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40" fillId="0" borderId="18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42" fillId="0" borderId="18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44" fillId="0" borderId="18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46" fillId="0" borderId="18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48" fillId="0" borderId="18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50" fillId="0" borderId="18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52" fillId="0" borderId="18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54" fillId="0" borderId="18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56" fillId="0" borderId="18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58" fillId="0" borderId="18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60" fillId="0" borderId="18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62" fillId="0" borderId="18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64" fillId="0" borderId="18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966" fillId="0" borderId="182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968" fillId="0" borderId="18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70" fillId="0" borderId="18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72" fillId="0" borderId="18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74" fillId="0" borderId="18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76" fillId="0" borderId="18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78" fillId="0" borderId="18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80" fillId="0" borderId="18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82" fillId="0" borderId="18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84" fillId="0" borderId="18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86" fillId="0" borderId="18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88" fillId="0" borderId="18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90" fillId="0" borderId="18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92" fillId="0" borderId="18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94" fillId="0" borderId="18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96" fillId="0" borderId="18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98" fillId="0" borderId="18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00" fillId="0" borderId="18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02" fillId="0" borderId="182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004" fillId="0" borderId="18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06" fillId="0" borderId="18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08" fillId="0" borderId="18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10" fillId="0" borderId="18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12" fillId="0" borderId="18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14" fillId="0" borderId="18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16" fillId="0" borderId="18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18" fillId="0" borderId="18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20" fillId="0" borderId="18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22" fillId="0" borderId="18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24" fillId="0" borderId="18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26" fillId="0" borderId="18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28" fillId="0" borderId="18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30" fillId="0" borderId="18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32" fillId="0" borderId="18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34" fillId="0" borderId="18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36" fillId="0" borderId="18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38" fillId="0" borderId="18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40" fillId="0" borderId="18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42" fillId="0" borderId="182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0044" fillId="0" borderId="18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046" fillId="0" borderId="18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048" fillId="0" borderId="18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50" fillId="0" borderId="18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52" fillId="0" borderId="18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54" fillId="0" borderId="18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56" fillId="0" borderId="18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58" fillId="0" borderId="18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60" fillId="0" borderId="18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62" fillId="0" borderId="18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64" fillId="0" borderId="18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66" fillId="0" borderId="18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68" fillId="0" borderId="18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70" fillId="0" borderId="18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72" fillId="0" borderId="18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74" fillId="0" borderId="18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76" fillId="0" borderId="18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78" fillId="0" borderId="18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80" fillId="0" borderId="18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82" fillId="0" borderId="183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0084" fillId="0" borderId="18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086" fillId="0" borderId="18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088" fillId="0" borderId="18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90" fillId="0" borderId="18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92" fillId="0" borderId="18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94" fillId="0" borderId="18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96" fillId="0" borderId="18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98" fillId="0" borderId="18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00" fillId="0" borderId="18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02" fillId="0" borderId="18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04" fillId="0" borderId="18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06" fillId="0" borderId="18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08" fillId="0" borderId="18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10" fillId="0" borderId="18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12" fillId="0" borderId="18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14" fillId="0" borderId="18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16" fillId="0" borderId="18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18" fillId="0" borderId="18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20" fillId="0" borderId="18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22" fillId="0" borderId="183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0124" fillId="0" borderId="18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126" fillId="0" borderId="18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128" fillId="0" borderId="18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30" fillId="0" borderId="18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32" fillId="0" borderId="18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34" fillId="0" borderId="18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36" fillId="0" borderId="18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38" fillId="0" borderId="18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40" fillId="0" borderId="18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42" fillId="0" borderId="18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44" fillId="0" borderId="18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46" fillId="0" borderId="18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48" fillId="0" borderId="18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50" fillId="0" borderId="18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52" fillId="0" borderId="18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54" fillId="0" borderId="18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56" fillId="0" borderId="18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58" fillId="0" borderId="18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60" fillId="0" borderId="18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62" fillId="0" borderId="183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0164" fillId="0" borderId="18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166" fillId="0" borderId="183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168" fillId="0" borderId="18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70" fillId="0" borderId="18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72" fillId="0" borderId="18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74" fillId="0" borderId="18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76" fillId="0" borderId="18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78" fillId="0" borderId="18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80" fillId="0" borderId="18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82" fillId="0" borderId="18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84" fillId="0" borderId="18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86" fillId="0" borderId="18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88" fillId="0" borderId="18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90" fillId="0" borderId="18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92" fillId="0" borderId="18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94" fillId="0" borderId="18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96" fillId="0" borderId="18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98" fillId="0" borderId="18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00" fillId="0" borderId="18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02" fillId="0" borderId="183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0204" fillId="0" borderId="18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206" fillId="0" borderId="18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208" fillId="0" borderId="18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10" fillId="0" borderId="18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12" fillId="0" borderId="18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14" fillId="0" borderId="18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16" fillId="0" borderId="18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18" fillId="0" borderId="18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20" fillId="0" borderId="18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22" fillId="0" borderId="18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24" fillId="0" borderId="18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26" fillId="0" borderId="18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28" fillId="0" borderId="18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30" fillId="0" borderId="18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32" fillId="0" borderId="18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34" fillId="0" borderId="18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36" fillId="0" borderId="18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38" fillId="0" borderId="18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40" fillId="0" borderId="18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42" fillId="0" borderId="183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0244" fillId="0" borderId="18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246" fillId="0" borderId="18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248" fillId="0" borderId="18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50" fillId="0" borderId="18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52" fillId="0" borderId="18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54" fillId="0" borderId="18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56" fillId="0" borderId="18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58" fillId="0" borderId="18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60" fillId="0" borderId="18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62" fillId="0" borderId="18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64" fillId="0" borderId="18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66" fillId="0" borderId="18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68" fillId="0" borderId="18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70" fillId="0" borderId="18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72" fillId="0" borderId="18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74" fillId="0" borderId="18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76" fillId="0" borderId="18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78" fillId="0" borderId="18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80" fillId="0" borderId="18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82" fillId="0" borderId="184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0284" fillId="0" borderId="18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286" fillId="0" borderId="18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288" fillId="0" borderId="18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90" fillId="0" borderId="18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92" fillId="0" borderId="18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94" fillId="0" borderId="18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96" fillId="0" borderId="18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98" fillId="0" borderId="18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00" fillId="0" borderId="18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02" fillId="0" borderId="18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04" fillId="0" borderId="18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06" fillId="0" borderId="18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08" fillId="0" borderId="18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10" fillId="0" borderId="18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12" fillId="0" borderId="18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14" fillId="0" borderId="18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16" fillId="0" borderId="18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18" fillId="0" borderId="18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20" fillId="0" borderId="18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22" fillId="0" borderId="184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0324" fillId="0" borderId="18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326" fillId="0" borderId="184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328" fillId="0" borderId="18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30" fillId="0" borderId="18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32" fillId="0" borderId="18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34" fillId="0" borderId="18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36" fillId="0" borderId="18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38" fillId="0" borderId="18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40" fillId="0" borderId="18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42" fillId="0" borderId="18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44" fillId="0" borderId="18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46" fillId="0" borderId="18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48" fillId="0" borderId="18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50" fillId="0" borderId="18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52" fillId="0" borderId="18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54" fillId="0" borderId="18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56" fillId="0" borderId="18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58" fillId="0" borderId="18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60" fillId="0" borderId="18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62" fillId="0" borderId="184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0364" fillId="0" borderId="18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366" fillId="0" borderId="18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368" fillId="0" borderId="18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70" fillId="0" borderId="18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72" fillId="0" borderId="18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74" fillId="0" borderId="18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76" fillId="0" borderId="18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78" fillId="0" borderId="18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80" fillId="0" borderId="18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82" fillId="0" borderId="18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84" fillId="0" borderId="18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86" fillId="0" borderId="18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88" fillId="0" borderId="18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90" fillId="0" borderId="18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92" fillId="0" borderId="18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94" fillId="0" borderId="18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96" fillId="0" borderId="18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98" fillId="0" borderId="18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00" fillId="0" borderId="18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02" fillId="0" borderId="184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0404" fillId="0" borderId="18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406" fillId="0" borderId="18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408" fillId="0" borderId="18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10" fillId="0" borderId="18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12" fillId="0" borderId="18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14" fillId="0" borderId="18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16" fillId="0" borderId="18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18" fillId="0" borderId="18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20" fillId="0" borderId="18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22" fillId="0" borderId="18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24" fillId="0" borderId="18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26" fillId="0" borderId="18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28" fillId="0" borderId="18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30" fillId="0" borderId="18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32" fillId="0" borderId="18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34" fillId="0" borderId="18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36" fillId="0" borderId="18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38" fillId="0" borderId="18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40" fillId="0" borderId="18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42" fillId="0" borderId="184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0444" fillId="0" borderId="18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446" fillId="0" borderId="18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448" fillId="0" borderId="18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50" fillId="0" borderId="18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52" fillId="0" borderId="18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54" fillId="0" borderId="18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56" fillId="0" borderId="18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58" fillId="0" borderId="18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60" fillId="0" borderId="18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62" fillId="0" borderId="18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64" fillId="0" borderId="18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66" fillId="0" borderId="18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68" fillId="0" borderId="18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70" fillId="0" borderId="18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72" fillId="0" borderId="18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74" fillId="0" borderId="18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76" fillId="0" borderId="18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78" fillId="0" borderId="18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80" fillId="0" borderId="18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82" fillId="0" borderId="185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0484" fillId="0" borderId="18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486" fillId="0" borderId="18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488" fillId="0" borderId="18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90" fillId="0" borderId="18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92" fillId="0" borderId="18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94" fillId="0" borderId="18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96" fillId="0" borderId="18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98" fillId="0" borderId="18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00" fillId="0" borderId="18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02" fillId="0" borderId="18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04" fillId="0" borderId="18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06" fillId="0" borderId="18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08" fillId="0" borderId="18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10" fillId="0" borderId="18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12" fillId="0" borderId="18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14" fillId="0" borderId="18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16" fillId="0" borderId="18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18" fillId="0" borderId="18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20" fillId="0" borderId="18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22" fillId="0" borderId="185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0524" fillId="0" borderId="18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526" fillId="0" borderId="18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528" fillId="0" borderId="18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30" fillId="0" borderId="18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32" fillId="0" borderId="18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34" fillId="0" borderId="18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36" fillId="0" borderId="18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38" fillId="0" borderId="18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40" fillId="0" borderId="18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42" fillId="0" borderId="18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44" fillId="0" borderId="18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46" fillId="0" borderId="18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48" fillId="0" borderId="18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50" fillId="0" borderId="18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52" fillId="0" borderId="18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54" fillId="0" borderId="18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56" fillId="0" borderId="18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58" fillId="0" borderId="18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60" fillId="0" borderId="18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62" fillId="0" borderId="185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0564" fillId="0" borderId="18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566" fillId="0" borderId="185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568" fillId="0" borderId="18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70" fillId="0" borderId="18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72" fillId="0" borderId="18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74" fillId="0" borderId="18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76" fillId="0" borderId="18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78" fillId="0" borderId="18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80" fillId="0" borderId="18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82" fillId="0" borderId="18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84" fillId="0" borderId="18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86" fillId="0" borderId="18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88" fillId="0" borderId="18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90" fillId="0" borderId="18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92" fillId="0" borderId="18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94" fillId="0" borderId="18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96" fillId="0" borderId="18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98" fillId="0" borderId="18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00" fillId="0" borderId="18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02" fillId="397" borderId="18568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0604" fillId="398" borderId="18569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606" fillId="399" borderId="18570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608" fillId="0" borderId="18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10" fillId="0" borderId="18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12" fillId="0" borderId="18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14" fillId="0" borderId="18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16" fillId="0" borderId="18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18" fillId="0" borderId="18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20" fillId="0" borderId="18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22" fillId="0" borderId="18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24" fillId="0" borderId="18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26" fillId="0" borderId="18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28" fillId="0" borderId="18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30" fillId="0" borderId="18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32" fillId="0" borderId="18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34" fillId="0" borderId="18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36" fillId="0" borderId="18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38" fillId="0" borderId="18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40" fillId="0" borderId="18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42" fillId="0" borderId="18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44" fillId="0" borderId="18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46" fillId="0" borderId="18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48" fillId="0" borderId="18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50" fillId="0" borderId="18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52" fillId="0" borderId="18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54" fillId="0" borderId="18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56" fillId="0" borderId="18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58" fillId="0" borderId="18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60" fillId="0" borderId="18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62" fillId="0" borderId="18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64" fillId="0" borderId="18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66" fillId="0" borderId="18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68" fillId="0" borderId="18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70" fillId="0" borderId="18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72" fillId="0" borderId="18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74" fillId="0" borderId="18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76" fillId="0" borderId="18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78" fillId="0" borderId="18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80" fillId="0" borderId="18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82" fillId="0" borderId="18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84" fillId="0" borderId="18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86" fillId="0" borderId="18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88" fillId="0" borderId="18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90" fillId="0" borderId="18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92" fillId="0" borderId="18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94" fillId="0" borderId="18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96" fillId="0" borderId="18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98" fillId="0" borderId="18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00" fillId="0" borderId="18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02" fillId="0" borderId="18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04" fillId="0" borderId="18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06" fillId="0" borderId="18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08" fillId="0" borderId="18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10" fillId="0" borderId="18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12" fillId="0" borderId="18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14" fillId="0" borderId="18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16" fillId="0" borderId="18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18" fillId="0" borderId="18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20" fillId="0" borderId="18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8628" xfId="0"/>
    <xf numFmtId="0" fontId="30722" fillId="0" borderId="18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24" fillId="0" borderId="18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26" fillId="0" borderId="18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28" fillId="0" borderId="18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30" fillId="0" borderId="18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32" fillId="0" borderId="18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34" fillId="0" borderId="18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36" fillId="0" borderId="18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38" fillId="0" borderId="18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40" fillId="0" borderId="18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42" fillId="0" borderId="18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44" fillId="0" borderId="18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46" fillId="0" borderId="18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48" fillId="0" borderId="18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50" fillId="0" borderId="18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52" fillId="0" borderId="18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54" fillId="0" borderId="18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56" fillId="0" borderId="18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58" fillId="0" borderId="18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60" fillId="0" borderId="18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62" fillId="0" borderId="18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64" fillId="0" borderId="18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766" fillId="0" borderId="18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768" fillId="0" borderId="18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70" fillId="0" borderId="18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72" fillId="0" borderId="18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74" fillId="0" borderId="18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76" fillId="0" borderId="18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78" fillId="0" borderId="18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80" fillId="0" borderId="18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82" fillId="0" borderId="18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84" fillId="0" borderId="18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86" fillId="0" borderId="18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88" fillId="0" borderId="18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90" fillId="0" borderId="18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92" fillId="0" borderId="18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94" fillId="0" borderId="18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96" fillId="0" borderId="18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98" fillId="0" borderId="18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00" fillId="0" borderId="18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02" fillId="0" borderId="186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804" fillId="0" borderId="18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06" fillId="0" borderId="18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08" fillId="0" borderId="18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10" fillId="0" borderId="18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12" fillId="0" borderId="18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14" fillId="0" borderId="18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16" fillId="0" borderId="18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18" fillId="0" borderId="18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20" fillId="0" borderId="18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22" fillId="0" borderId="18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24" fillId="0" borderId="18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26" fillId="0" borderId="18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28" fillId="0" borderId="18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30" fillId="0" borderId="18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32" fillId="0" borderId="18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34" fillId="0" borderId="18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36" fillId="0" borderId="18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38" fillId="0" borderId="18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40" fillId="0" borderId="18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42" fillId="0" borderId="186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0844" fillId="0" borderId="186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846" fillId="0" borderId="18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848" fillId="0" borderId="18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50" fillId="0" borderId="18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52" fillId="0" borderId="18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54" fillId="0" borderId="18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56" fillId="0" borderId="18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58" fillId="0" borderId="18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60" fillId="0" borderId="18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62" fillId="0" borderId="18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64" fillId="0" borderId="18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66" fillId="0" borderId="18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68" fillId="0" borderId="18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70" fillId="0" borderId="18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72" fillId="0" borderId="18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74" fillId="0" borderId="18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76" fillId="0" borderId="18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78" fillId="0" borderId="18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80" fillId="0" borderId="18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82" fillId="0" borderId="187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0884" fillId="0" borderId="187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886" fillId="0" borderId="18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888" fillId="0" borderId="18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90" fillId="0" borderId="18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92" fillId="0" borderId="18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94" fillId="0" borderId="18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96" fillId="0" borderId="18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98" fillId="0" borderId="18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00" fillId="0" borderId="18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02" fillId="0" borderId="18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04" fillId="0" borderId="18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06" fillId="0" borderId="18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08" fillId="0" borderId="18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10" fillId="0" borderId="18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12" fillId="0" borderId="18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14" fillId="0" borderId="18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16" fillId="0" borderId="18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18" fillId="0" borderId="18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20" fillId="0" borderId="18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22" fillId="0" borderId="187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0924" fillId="0" borderId="187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926" fillId="0" borderId="18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928" fillId="0" borderId="18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30" fillId="0" borderId="18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32" fillId="0" borderId="18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34" fillId="0" borderId="18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36" fillId="0" borderId="18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38" fillId="0" borderId="18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40" fillId="0" borderId="18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42" fillId="0" borderId="18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44" fillId="0" borderId="18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46" fillId="0" borderId="18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48" fillId="0" borderId="18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50" fillId="0" borderId="18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52" fillId="0" borderId="18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54" fillId="0" borderId="18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56" fillId="0" borderId="18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58" fillId="0" borderId="18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60" fillId="0" borderId="18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62" fillId="0" borderId="187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0964" fillId="0" borderId="187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966" fillId="0" borderId="187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968" fillId="0" borderId="18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70" fillId="0" borderId="18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72" fillId="0" borderId="18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74" fillId="0" borderId="18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76" fillId="0" borderId="18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78" fillId="0" borderId="18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80" fillId="0" borderId="18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82" fillId="0" borderId="18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84" fillId="0" borderId="18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86" fillId="0" borderId="18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88" fillId="0" borderId="18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90" fillId="0" borderId="18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92" fillId="0" borderId="18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94" fillId="0" borderId="18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96" fillId="0" borderId="18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98" fillId="0" borderId="18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00" fillId="0" borderId="18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02" fillId="0" borderId="187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1004" fillId="0" borderId="187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006" fillId="0" borderId="187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008" fillId="0" borderId="18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10" fillId="0" borderId="18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12" fillId="0" borderId="18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14" fillId="0" borderId="18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16" fillId="0" borderId="18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18" fillId="0" borderId="18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20" fillId="0" borderId="18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22" fillId="0" borderId="18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24" fillId="0" borderId="18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26" fillId="0" borderId="18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28" fillId="0" borderId="18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30" fillId="0" borderId="18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32" fillId="0" borderId="18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34" fillId="0" borderId="18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36" fillId="0" borderId="18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38" fillId="0" borderId="18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40" fillId="0" borderId="18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42" fillId="0" borderId="187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1044" fillId="0" borderId="18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046" fillId="0" borderId="187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048" fillId="0" borderId="18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50" fillId="0" borderId="18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52" fillId="0" borderId="18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54" fillId="0" borderId="18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56" fillId="0" borderId="18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58" fillId="0" borderId="18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60" fillId="0" borderId="18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62" fillId="0" borderId="18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64" fillId="0" borderId="18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66" fillId="0" borderId="18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68" fillId="0" borderId="18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70" fillId="0" borderId="18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72" fillId="0" borderId="18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74" fillId="0" borderId="18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76" fillId="0" borderId="18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78" fillId="0" borderId="18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80" fillId="0" borderId="18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82" fillId="0" borderId="188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1084" fillId="0" borderId="188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086" fillId="0" borderId="18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088" fillId="0" borderId="18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90" fillId="0" borderId="18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92" fillId="0" borderId="18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94" fillId="0" borderId="18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96" fillId="0" borderId="18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98" fillId="0" borderId="18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00" fillId="0" borderId="18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02" fillId="0" borderId="18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04" fillId="0" borderId="18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06" fillId="0" borderId="18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08" fillId="0" borderId="18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10" fillId="0" borderId="18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12" fillId="0" borderId="18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14" fillId="0" borderId="18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16" fillId="0" borderId="18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18" fillId="0" borderId="18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20" fillId="0" borderId="18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22" fillId="0" borderId="188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1124" fillId="0" borderId="18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126" fillId="0" borderId="18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128" fillId="0" borderId="18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30" fillId="0" borderId="18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32" fillId="0" borderId="18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34" fillId="0" borderId="18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36" fillId="0" borderId="18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38" fillId="0" borderId="18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40" fillId="0" borderId="18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42" fillId="0" borderId="18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44" fillId="0" borderId="18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46" fillId="0" borderId="18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48" fillId="0" borderId="18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50" fillId="0" borderId="18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52" fillId="0" borderId="18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54" fillId="0" borderId="18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56" fillId="0" borderId="18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58" fillId="0" borderId="18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60" fillId="0" borderId="18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62" fillId="0" borderId="188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1164" fillId="0" borderId="18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166" fillId="0" borderId="18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168" fillId="0" borderId="18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70" fillId="0" borderId="18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72" fillId="0" borderId="18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74" fillId="0" borderId="18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76" fillId="0" borderId="18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78" fillId="0" borderId="18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80" fillId="0" borderId="18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82" fillId="0" borderId="18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84" fillId="0" borderId="18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86" fillId="0" borderId="18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88" fillId="0" borderId="18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90" fillId="0" borderId="18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92" fillId="0" borderId="18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94" fillId="0" borderId="18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96" fillId="0" borderId="18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98" fillId="0" borderId="18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00" fillId="0" borderId="18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02" fillId="0" borderId="188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1204" fillId="0" borderId="188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206" fillId="0" borderId="18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208" fillId="0" borderId="18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10" fillId="0" borderId="18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12" fillId="0" borderId="18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14" fillId="0" borderId="18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16" fillId="0" borderId="18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18" fillId="0" borderId="18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20" fillId="0" borderId="18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22" fillId="0" borderId="18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24" fillId="0" borderId="18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26" fillId="0" borderId="18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28" fillId="0" borderId="18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30" fillId="0" borderId="18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32" fillId="0" borderId="18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34" fillId="0" borderId="18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36" fillId="0" borderId="18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38" fillId="0" borderId="18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40" fillId="0" borderId="18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42" fillId="0" borderId="188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1244" fillId="0" borderId="188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246" fillId="0" borderId="18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248" fillId="0" borderId="18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50" fillId="0" borderId="18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52" fillId="0" borderId="18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54" fillId="0" borderId="18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56" fillId="0" borderId="18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58" fillId="0" borderId="18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60" fillId="0" borderId="18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62" fillId="0" borderId="18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64" fillId="0" borderId="18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66" fillId="0" borderId="18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68" fillId="0" borderId="18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70" fillId="0" borderId="18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72" fillId="0" borderId="18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74" fillId="0" borderId="18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76" fillId="0" borderId="18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78" fillId="0" borderId="18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80" fillId="0" borderId="18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82" fillId="0" borderId="189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1284" fillId="0" borderId="189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286" fillId="0" borderId="189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288" fillId="0" borderId="18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90" fillId="0" borderId="18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92" fillId="0" borderId="18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94" fillId="0" borderId="18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96" fillId="0" borderId="18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98" fillId="0" borderId="18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00" fillId="0" borderId="18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02" fillId="0" borderId="18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04" fillId="0" borderId="18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06" fillId="0" borderId="18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08" fillId="0" borderId="18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10" fillId="0" borderId="18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12" fillId="0" borderId="18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14" fillId="0" borderId="18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16" fillId="0" borderId="18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18" fillId="0" borderId="18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20" fillId="0" borderId="18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22" fillId="0" borderId="189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1324" fillId="0" borderId="18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326" fillId="0" borderId="189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328" fillId="0" borderId="18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30" fillId="0" borderId="18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32" fillId="0" borderId="18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34" fillId="0" borderId="18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36" fillId="0" borderId="18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38" fillId="0" borderId="18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40" fillId="0" borderId="18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42" fillId="0" borderId="18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44" fillId="0" borderId="18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46" fillId="0" borderId="18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48" fillId="0" borderId="18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50" fillId="0" borderId="18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52" fillId="0" borderId="18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54" fillId="0" borderId="18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56" fillId="0" borderId="18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58" fillId="0" borderId="18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60" fillId="0" borderId="18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62" fillId="0" borderId="189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1364" fillId="0" borderId="189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366" fillId="0" borderId="189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368" fillId="0" borderId="18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70" fillId="0" borderId="18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72" fillId="0" borderId="18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74" fillId="0" borderId="18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76" fillId="0" borderId="18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78" fillId="0" borderId="18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80" fillId="0" borderId="18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82" fillId="0" borderId="18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84" fillId="0" borderId="18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86" fillId="0" borderId="18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88" fillId="0" borderId="18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90" fillId="0" borderId="18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92" fillId="0" borderId="18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94" fillId="0" borderId="18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96" fillId="0" borderId="18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98" fillId="0" borderId="18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00" fillId="0" borderId="18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02" fillId="400" borderId="18969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1404" fillId="401" borderId="18970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406" fillId="402" borderId="18971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408" fillId="0" borderId="18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10" fillId="0" borderId="18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12" fillId="0" borderId="18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14" fillId="0" borderId="18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16" fillId="0" borderId="18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18" fillId="0" borderId="18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20" fillId="0" borderId="18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22" fillId="0" borderId="18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24" fillId="0" borderId="18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26" fillId="0" borderId="18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28" fillId="0" borderId="18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30" fillId="0" borderId="18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32" fillId="0" borderId="18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34" fillId="0" borderId="18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36" fillId="0" borderId="18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38" fillId="0" borderId="18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40" fillId="0" borderId="18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42" fillId="0" borderId="18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44" fillId="0" borderId="18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46" fillId="0" borderId="18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48" fillId="0" borderId="18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50" fillId="0" borderId="18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52" fillId="0" borderId="18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54" fillId="0" borderId="18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56" fillId="0" borderId="18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58" fillId="0" borderId="18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60" fillId="0" borderId="18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62" fillId="0" borderId="18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64" fillId="0" borderId="19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66" fillId="0" borderId="19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68" fillId="0" borderId="19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70" fillId="0" borderId="19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72" fillId="0" borderId="19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74" fillId="0" borderId="19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76" fillId="0" borderId="19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78" fillId="0" borderId="19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80" fillId="0" borderId="19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82" fillId="0" borderId="19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84" fillId="0" borderId="19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86" fillId="0" borderId="19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88" fillId="0" borderId="19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90" fillId="0" borderId="19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92" fillId="0" borderId="19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94" fillId="0" borderId="19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96" fillId="0" borderId="19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98" fillId="0" borderId="19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00" fillId="0" borderId="19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02" fillId="0" borderId="19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04" fillId="0" borderId="19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06" fillId="0" borderId="19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08" fillId="0" borderId="19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10" fillId="0" borderId="19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12" fillId="0" borderId="19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14" fillId="0" borderId="19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16" fillId="0" borderId="19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18" fillId="0" borderId="19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20" fillId="0" borderId="19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9029" xfId="0"/>
    <xf numFmtId="0" fontId="31522" fillId="0" borderId="19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24" fillId="0" borderId="19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26" fillId="0" borderId="19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28" fillId="0" borderId="19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30" fillId="0" borderId="19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32" fillId="0" borderId="19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34" fillId="0" borderId="19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36" fillId="0" borderId="19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38" fillId="0" borderId="19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40" fillId="0" borderId="19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42" fillId="0" borderId="19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44" fillId="0" borderId="19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46" fillId="0" borderId="19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48" fillId="0" borderId="19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50" fillId="0" borderId="19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52" fillId="0" borderId="19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54" fillId="0" borderId="19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56" fillId="0" borderId="19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58" fillId="0" borderId="19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60" fillId="0" borderId="19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62" fillId="0" borderId="19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64" fillId="0" borderId="190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566" fillId="0" borderId="190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568" fillId="0" borderId="19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70" fillId="0" borderId="19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72" fillId="0" borderId="19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74" fillId="0" borderId="19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76" fillId="0" borderId="19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78" fillId="0" borderId="19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80" fillId="0" borderId="19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82" fillId="0" borderId="19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84" fillId="0" borderId="19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86" fillId="0" borderId="19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88" fillId="0" borderId="19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90" fillId="0" borderId="19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92" fillId="0" borderId="19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94" fillId="0" borderId="19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96" fillId="0" borderId="19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98" fillId="0" borderId="19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00" fillId="0" borderId="19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02" fillId="0" borderId="190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604" fillId="0" borderId="19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06" fillId="0" borderId="19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08" fillId="0" borderId="19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10" fillId="0" borderId="19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12" fillId="0" borderId="19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14" fillId="0" borderId="19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16" fillId="0" borderId="19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18" fillId="0" borderId="19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20" fillId="0" borderId="19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22" fillId="0" borderId="19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24" fillId="0" borderId="19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26" fillId="0" borderId="19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28" fillId="0" borderId="19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30" fillId="0" borderId="19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32" fillId="0" borderId="19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34" fillId="0" borderId="19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36" fillId="0" borderId="19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38" fillId="0" borderId="19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40" fillId="0" borderId="19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42" fillId="0" borderId="190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1644" fillId="0" borderId="190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646" fillId="0" borderId="190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648" fillId="0" borderId="19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50" fillId="0" borderId="19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52" fillId="0" borderId="19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54" fillId="0" borderId="19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56" fillId="0" borderId="19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58" fillId="0" borderId="19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60" fillId="0" borderId="19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62" fillId="0" borderId="19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64" fillId="0" borderId="19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66" fillId="0" borderId="19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68" fillId="0" borderId="19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70" fillId="0" borderId="19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72" fillId="0" borderId="19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74" fillId="0" borderId="19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76" fillId="0" borderId="19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78" fillId="0" borderId="19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80" fillId="0" borderId="19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82" fillId="0" borderId="191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1684" fillId="0" borderId="19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686" fillId="0" borderId="19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688" fillId="0" borderId="19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90" fillId="0" borderId="19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92" fillId="0" borderId="19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94" fillId="0" borderId="19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96" fillId="0" borderId="19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98" fillId="0" borderId="19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00" fillId="0" borderId="19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02" fillId="0" borderId="19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04" fillId="0" borderId="19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06" fillId="0" borderId="19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08" fillId="0" borderId="19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10" fillId="0" borderId="19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12" fillId="0" borderId="19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14" fillId="0" borderId="19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16" fillId="0" borderId="19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18" fillId="0" borderId="19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20" fillId="0" borderId="19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22" fillId="0" borderId="191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1724" fillId="0" borderId="19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726" fillId="0" borderId="19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728" fillId="0" borderId="19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30" fillId="0" borderId="19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32" fillId="0" borderId="19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34" fillId="0" borderId="19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36" fillId="0" borderId="19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38" fillId="0" borderId="19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40" fillId="0" borderId="19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42" fillId="0" borderId="19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44" fillId="0" borderId="19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46" fillId="0" borderId="19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48" fillId="0" borderId="19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50" fillId="0" borderId="19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52" fillId="0" borderId="19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54" fillId="0" borderId="19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56" fillId="0" borderId="19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58" fillId="0" borderId="19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60" fillId="0" borderId="19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62" fillId="0" borderId="191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1764" fillId="0" borderId="19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766" fillId="0" borderId="19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768" fillId="0" borderId="19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70" fillId="0" borderId="19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72" fillId="0" borderId="19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74" fillId="0" borderId="19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76" fillId="0" borderId="19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78" fillId="0" borderId="19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80" fillId="0" borderId="19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82" fillId="0" borderId="19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84" fillId="0" borderId="19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86" fillId="0" borderId="19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88" fillId="0" borderId="19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90" fillId="0" borderId="19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92" fillId="0" borderId="19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94" fillId="0" borderId="19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96" fillId="0" borderId="19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98" fillId="0" borderId="19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00" fillId="0" borderId="19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02" fillId="0" borderId="191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1804" fillId="0" borderId="19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806" fillId="0" borderId="19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808" fillId="0" borderId="19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10" fillId="0" borderId="19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12" fillId="0" borderId="19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14" fillId="0" borderId="19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16" fillId="0" borderId="19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18" fillId="0" borderId="19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20" fillId="0" borderId="19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22" fillId="0" borderId="19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24" fillId="0" borderId="19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26" fillId="0" borderId="19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28" fillId="0" borderId="19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30" fillId="0" borderId="19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32" fillId="0" borderId="19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34" fillId="0" borderId="19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36" fillId="0" borderId="19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38" fillId="0" borderId="19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40" fillId="0" borderId="19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42" fillId="0" borderId="191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1844" fillId="0" borderId="19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846" fillId="0" borderId="19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848" fillId="0" borderId="19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50" fillId="0" borderId="19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52" fillId="0" borderId="19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54" fillId="0" borderId="19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56" fillId="0" borderId="19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58" fillId="0" borderId="19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60" fillId="0" borderId="19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62" fillId="0" borderId="19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64" fillId="0" borderId="19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66" fillId="0" borderId="19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68" fillId="0" borderId="19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70" fillId="0" borderId="19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72" fillId="0" borderId="19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74" fillId="0" borderId="19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76" fillId="0" borderId="19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78" fillId="0" borderId="19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80" fillId="0" borderId="19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82" fillId="0" borderId="192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1884" fillId="0" borderId="19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886" fillId="0" borderId="19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888" fillId="0" borderId="19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90" fillId="0" borderId="19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92" fillId="0" borderId="19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94" fillId="0" borderId="19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96" fillId="0" borderId="19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98" fillId="0" borderId="19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00" fillId="0" borderId="19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02" fillId="0" borderId="19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04" fillId="0" borderId="19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06" fillId="0" borderId="19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08" fillId="0" borderId="19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10" fillId="0" borderId="19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12" fillId="0" borderId="19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14" fillId="0" borderId="19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16" fillId="0" borderId="19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18" fillId="0" borderId="19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20" fillId="0" borderId="19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22" fillId="0" borderId="192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1924" fillId="0" borderId="19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926" fillId="0" borderId="19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928" fillId="0" borderId="19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30" fillId="0" borderId="19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32" fillId="0" borderId="19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34" fillId="0" borderId="19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36" fillId="0" borderId="19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38" fillId="0" borderId="19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40" fillId="0" borderId="19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42" fillId="0" borderId="19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44" fillId="0" borderId="19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46" fillId="0" borderId="19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48" fillId="0" borderId="19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50" fillId="0" borderId="19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52" fillId="0" borderId="19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54" fillId="0" borderId="19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56" fillId="0" borderId="19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58" fillId="0" borderId="19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60" fillId="0" borderId="19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62" fillId="0" borderId="192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1964" fillId="0" borderId="192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966" fillId="0" borderId="19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968" fillId="0" borderId="19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70" fillId="0" borderId="19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72" fillId="0" borderId="19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74" fillId="0" borderId="19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76" fillId="0" borderId="19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78" fillId="0" borderId="19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80" fillId="0" borderId="19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82" fillId="0" borderId="19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84" fillId="0" borderId="19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86" fillId="0" borderId="19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88" fillId="0" borderId="19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90" fillId="0" borderId="19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92" fillId="0" borderId="19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94" fillId="0" borderId="19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96" fillId="0" borderId="19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98" fillId="0" borderId="19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00" fillId="0" borderId="19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02" fillId="0" borderId="192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2004" fillId="0" borderId="192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006" fillId="0" borderId="19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08" fillId="0" borderId="19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10" fillId="0" borderId="19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12" fillId="0" borderId="19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14" fillId="0" borderId="19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16" fillId="0" borderId="19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18" fillId="0" borderId="19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20" fillId="0" borderId="19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22" fillId="0" borderId="19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24" fillId="0" borderId="19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26" fillId="0" borderId="19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28" fillId="0" borderId="19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30" fillId="0" borderId="19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32" fillId="0" borderId="19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34" fillId="0" borderId="19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36" fillId="0" borderId="19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38" fillId="0" borderId="19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40" fillId="0" borderId="19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42" fillId="0" borderId="192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2044" fillId="0" borderId="19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046" fillId="0" borderId="192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48" fillId="0" borderId="19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50" fillId="0" borderId="19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52" fillId="0" borderId="19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54" fillId="0" borderId="19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56" fillId="0" borderId="19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58" fillId="0" borderId="19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60" fillId="0" borderId="19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62" fillId="0" borderId="19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64" fillId="0" borderId="19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66" fillId="0" borderId="19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68" fillId="0" borderId="19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70" fillId="0" borderId="19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72" fillId="0" borderId="19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74" fillId="0" borderId="19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76" fillId="0" borderId="19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78" fillId="0" borderId="19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80" fillId="0" borderId="19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82" fillId="0" borderId="193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2084" fillId="0" borderId="19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086" fillId="0" borderId="19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88" fillId="0" borderId="19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90" fillId="0" borderId="19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92" fillId="0" borderId="19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94" fillId="0" borderId="19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96" fillId="0" borderId="19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98" fillId="0" borderId="19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00" fillId="0" borderId="19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02" fillId="0" borderId="19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04" fillId="0" borderId="19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06" fillId="0" borderId="19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08" fillId="0" borderId="19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10" fillId="0" borderId="19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12" fillId="0" borderId="19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14" fillId="0" borderId="19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16" fillId="0" borderId="19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18" fillId="0" borderId="19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20" fillId="0" borderId="19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22" fillId="0" borderId="193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2124" fillId="0" borderId="19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126" fillId="0" borderId="193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128" fillId="0" borderId="19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30" fillId="0" borderId="19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32" fillId="0" borderId="19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34" fillId="0" borderId="19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36" fillId="0" borderId="19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38" fillId="0" borderId="19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40" fillId="0" borderId="19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42" fillId="0" borderId="19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44" fillId="0" borderId="19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46" fillId="0" borderId="19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48" fillId="0" borderId="19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50" fillId="0" borderId="19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52" fillId="0" borderId="19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54" fillId="0" borderId="19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56" fillId="0" borderId="19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58" fillId="0" borderId="19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60" fillId="0" borderId="19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62" fillId="0" borderId="193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2164" fillId="0" borderId="19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166" fillId="0" borderId="193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168" fillId="0" borderId="19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70" fillId="0" borderId="19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72" fillId="0" borderId="19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74" fillId="0" borderId="19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76" fillId="0" borderId="19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78" fillId="0" borderId="19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80" fillId="0" borderId="19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82" fillId="0" borderId="19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84" fillId="0" borderId="19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86" fillId="0" borderId="19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88" fillId="0" borderId="19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90" fillId="0" borderId="19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92" fillId="0" borderId="19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94" fillId="0" borderId="19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96" fillId="0" borderId="19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98" fillId="0" borderId="19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00" fillId="0" borderId="19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02" fillId="403" borderId="19370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2204" fillId="404" borderId="19371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206" fillId="405" borderId="19372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208" fillId="0" borderId="19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10" fillId="0" borderId="19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12" fillId="0" borderId="19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14" fillId="0" borderId="19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16" fillId="0" borderId="19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18" fillId="0" borderId="19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20" fillId="0" borderId="19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22" fillId="0" borderId="19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24" fillId="0" borderId="19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26" fillId="0" borderId="19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28" fillId="0" borderId="19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30" fillId="0" borderId="19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32" fillId="0" borderId="19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34" fillId="0" borderId="19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36" fillId="0" borderId="19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38" fillId="0" borderId="19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40" fillId="0" borderId="19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42" fillId="0" borderId="19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44" fillId="0" borderId="19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46" fillId="0" borderId="19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48" fillId="0" borderId="19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50" fillId="0" borderId="19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52" fillId="0" borderId="19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54" fillId="0" borderId="19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56" fillId="0" borderId="19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58" fillId="0" borderId="19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60" fillId="0" borderId="19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62" fillId="0" borderId="19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64" fillId="0" borderId="19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66" fillId="0" borderId="19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68" fillId="0" borderId="19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70" fillId="0" borderId="19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72" fillId="0" borderId="19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74" fillId="0" borderId="19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76" fillId="0" borderId="19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78" fillId="0" borderId="19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80" fillId="0" borderId="19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82" fillId="0" borderId="19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84" fillId="0" borderId="19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86" fillId="0" borderId="19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88" fillId="0" borderId="19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90" fillId="0" borderId="19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92" fillId="0" borderId="19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94" fillId="0" borderId="19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96" fillId="0" borderId="19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98" fillId="0" borderId="19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00" fillId="0" borderId="19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02" fillId="0" borderId="19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04" fillId="0" borderId="19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06" fillId="0" borderId="19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08" fillId="0" borderId="19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10" fillId="0" borderId="19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12" fillId="0" borderId="19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14" fillId="0" borderId="19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16" fillId="0" borderId="19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18" fillId="0" borderId="19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20" fillId="0" borderId="19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9430" xfId="0"/>
    <xf numFmtId="0" fontId="32322" fillId="0" borderId="19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24" fillId="0" borderId="19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26" fillId="0" borderId="19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28" fillId="0" borderId="19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30" fillId="0" borderId="19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32" fillId="0" borderId="19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34" fillId="0" borderId="19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36" fillId="0" borderId="19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38" fillId="0" borderId="19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40" fillId="0" borderId="19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42" fillId="0" borderId="19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44" fillId="0" borderId="19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46" fillId="0" borderId="19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48" fillId="0" borderId="19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50" fillId="0" borderId="19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52" fillId="0" borderId="19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54" fillId="0" borderId="19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56" fillId="0" borderId="19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58" fillId="0" borderId="19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60" fillId="0" borderId="19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62" fillId="0" borderId="19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64" fillId="0" borderId="19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366" fillId="0" borderId="19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368" fillId="0" borderId="19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370" fillId="0" borderId="19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72" fillId="0" borderId="19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74" fillId="0" borderId="19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76" fillId="0" borderId="19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78" fillId="0" borderId="19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80" fillId="0" borderId="19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82" fillId="0" borderId="19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84" fillId="0" borderId="19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86" fillId="0" borderId="19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88" fillId="0" borderId="19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90" fillId="0" borderId="19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92" fillId="0" borderId="19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94" fillId="0" borderId="19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96" fillId="0" borderId="19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98" fillId="0" borderId="19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00" fillId="0" borderId="19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02" fillId="0" borderId="194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404" fillId="0" borderId="19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06" fillId="0" borderId="19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08" fillId="0" borderId="19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10" fillId="0" borderId="19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12" fillId="0" borderId="19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14" fillId="0" borderId="19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16" fillId="0" borderId="19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18" fillId="0" borderId="19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20" fillId="0" borderId="19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22" fillId="0" borderId="19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24" fillId="0" borderId="19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26" fillId="0" borderId="19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28" fillId="0" borderId="19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30" fillId="0" borderId="19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32" fillId="0" borderId="19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34" fillId="0" borderId="19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36" fillId="0" borderId="19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38" fillId="0" borderId="19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40" fillId="0" borderId="19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42" fillId="0" borderId="194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2444" fillId="0" borderId="194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446" fillId="0" borderId="19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448" fillId="0" borderId="19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450" fillId="0" borderId="19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52" fillId="0" borderId="19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54" fillId="0" borderId="19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56" fillId="0" borderId="19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58" fillId="0" borderId="19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60" fillId="0" borderId="19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62" fillId="0" borderId="19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64" fillId="0" borderId="19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66" fillId="0" borderId="19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68" fillId="0" borderId="19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70" fillId="0" borderId="19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72" fillId="0" borderId="19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74" fillId="0" borderId="19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76" fillId="0" borderId="19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78" fillId="0" borderId="19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80" fillId="0" borderId="19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82" fillId="0" borderId="195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2484" fillId="0" borderId="195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486" fillId="0" borderId="195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488" fillId="0" borderId="195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490" fillId="0" borderId="19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92" fillId="0" borderId="19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94" fillId="0" borderId="19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96" fillId="0" borderId="19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98" fillId="0" borderId="19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00" fillId="0" borderId="19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02" fillId="0" borderId="19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04" fillId="0" borderId="19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06" fillId="0" borderId="19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08" fillId="0" borderId="19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10" fillId="0" borderId="19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12" fillId="0" borderId="19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14" fillId="0" borderId="19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16" fillId="0" borderId="19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18" fillId="0" borderId="19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20" fillId="0" borderId="19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22" fillId="0" borderId="195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2524" fillId="0" borderId="195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526" fillId="0" borderId="19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528" fillId="0" borderId="19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530" fillId="0" borderId="19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32" fillId="0" borderId="19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34" fillId="0" borderId="19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36" fillId="0" borderId="19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38" fillId="0" borderId="19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40" fillId="0" borderId="19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42" fillId="0" borderId="19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44" fillId="0" borderId="19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46" fillId="0" borderId="19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48" fillId="0" borderId="19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50" fillId="0" borderId="19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52" fillId="0" borderId="19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54" fillId="0" borderId="19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56" fillId="0" borderId="19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58" fillId="0" borderId="19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60" fillId="0" borderId="19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62" fillId="0" borderId="195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2564" fillId="0" borderId="19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566" fillId="0" borderId="19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568" fillId="0" borderId="195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570" fillId="0" borderId="19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72" fillId="0" borderId="19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74" fillId="0" borderId="19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76" fillId="0" borderId="19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78" fillId="0" borderId="19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80" fillId="0" borderId="19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82" fillId="0" borderId="19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84" fillId="0" borderId="19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86" fillId="0" borderId="19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88" fillId="0" borderId="19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90" fillId="0" borderId="19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92" fillId="0" borderId="19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94" fillId="0" borderId="19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96" fillId="0" borderId="19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98" fillId="0" borderId="19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00" fillId="0" borderId="19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02" fillId="0" borderId="195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2604" fillId="0" borderId="19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606" fillId="0" borderId="19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608" fillId="0" borderId="19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610" fillId="0" borderId="19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12" fillId="0" borderId="19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14" fillId="0" borderId="19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16" fillId="0" borderId="19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18" fillId="0" borderId="19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20" fillId="0" borderId="19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22" fillId="0" borderId="19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24" fillId="0" borderId="19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26" fillId="0" borderId="19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28" fillId="0" borderId="19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30" fillId="0" borderId="19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32" fillId="0" borderId="19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34" fillId="0" borderId="19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36" fillId="0" borderId="19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38" fillId="0" borderId="19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40" fillId="0" borderId="19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42" fillId="0" borderId="195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2644" fillId="0" borderId="195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646" fillId="0" borderId="19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648" fillId="0" borderId="19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650" fillId="0" borderId="19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52" fillId="0" borderId="19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54" fillId="0" borderId="19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56" fillId="0" borderId="19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58" fillId="0" borderId="19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60" fillId="0" borderId="19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62" fillId="0" borderId="19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64" fillId="0" borderId="19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66" fillId="0" borderId="19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68" fillId="0" borderId="19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70" fillId="0" borderId="19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72" fillId="0" borderId="19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74" fillId="0" borderId="19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76" fillId="0" borderId="19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78" fillId="0" borderId="19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80" fillId="0" borderId="19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82" fillId="0" borderId="196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2684" fillId="0" borderId="19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686" fillId="0" borderId="19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688" fillId="0" borderId="196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690" fillId="0" borderId="19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92" fillId="0" borderId="19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94" fillId="0" borderId="19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96" fillId="0" borderId="19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98" fillId="0" borderId="19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00" fillId="0" borderId="19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02" fillId="0" borderId="19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04" fillId="0" borderId="19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06" fillId="0" borderId="19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08" fillId="0" borderId="19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10" fillId="0" borderId="19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12" fillId="0" borderId="19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14" fillId="0" borderId="19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16" fillId="0" borderId="19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18" fillId="0" borderId="19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20" fillId="0" borderId="19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22" fillId="0" borderId="196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2724" fillId="0" borderId="196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726" fillId="0" borderId="19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728" fillId="0" borderId="19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730" fillId="0" borderId="19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32" fillId="0" borderId="19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34" fillId="0" borderId="19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36" fillId="0" borderId="19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38" fillId="0" borderId="19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40" fillId="0" borderId="19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42" fillId="0" borderId="19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44" fillId="0" borderId="19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46" fillId="0" borderId="19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48" fillId="0" borderId="19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50" fillId="0" borderId="19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52" fillId="0" borderId="19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54" fillId="0" borderId="19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56" fillId="0" borderId="19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58" fillId="0" borderId="19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60" fillId="0" borderId="19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62" fillId="0" borderId="196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2764" fillId="0" borderId="196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766" fillId="0" borderId="196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768" fillId="0" borderId="19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770" fillId="0" borderId="19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72" fillId="0" borderId="19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74" fillId="0" borderId="19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76" fillId="0" borderId="19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78" fillId="0" borderId="19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80" fillId="0" borderId="19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82" fillId="0" borderId="19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84" fillId="0" borderId="19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86" fillId="0" borderId="19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88" fillId="0" borderId="19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90" fillId="0" borderId="19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92" fillId="0" borderId="19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94" fillId="0" borderId="19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96" fillId="0" borderId="19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98" fillId="0" borderId="19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00" fillId="0" borderId="19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02" fillId="0" borderId="196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2804" fillId="0" borderId="196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806" fillId="0" borderId="196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808" fillId="0" borderId="19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810" fillId="0" borderId="19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12" fillId="0" borderId="19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14" fillId="0" borderId="19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16" fillId="0" borderId="19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18" fillId="0" borderId="19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20" fillId="0" borderId="19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22" fillId="0" borderId="19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24" fillId="0" borderId="19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26" fillId="0" borderId="19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28" fillId="0" borderId="19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30" fillId="0" borderId="19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32" fillId="0" borderId="19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34" fillId="0" borderId="19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36" fillId="0" borderId="19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38" fillId="0" borderId="19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40" fillId="0" borderId="19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42" fillId="0" borderId="196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2844" fillId="0" borderId="196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846" fillId="0" borderId="196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848" fillId="0" borderId="19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850" fillId="0" borderId="19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52" fillId="0" borderId="19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54" fillId="0" borderId="19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56" fillId="0" borderId="19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58" fillId="0" borderId="19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60" fillId="0" borderId="19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62" fillId="0" borderId="19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64" fillId="0" borderId="19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66" fillId="0" borderId="19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68" fillId="0" borderId="19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70" fillId="0" borderId="19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72" fillId="0" borderId="19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74" fillId="0" borderId="19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76" fillId="0" borderId="19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78" fillId="0" borderId="19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80" fillId="0" borderId="19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82" fillId="0" borderId="197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2884" fillId="0" borderId="19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886" fillId="0" borderId="19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888" fillId="0" borderId="19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890" fillId="0" borderId="19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92" fillId="0" borderId="19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94" fillId="0" borderId="19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96" fillId="0" borderId="19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98" fillId="0" borderId="19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00" fillId="0" borderId="19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02" fillId="0" borderId="19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04" fillId="0" borderId="19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06" fillId="0" borderId="19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08" fillId="0" borderId="19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10" fillId="0" borderId="19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12" fillId="0" borderId="19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14" fillId="0" borderId="19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16" fillId="0" borderId="19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18" fillId="0" borderId="19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20" fillId="0" borderId="19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22" fillId="0" borderId="197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2924" fillId="0" borderId="19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926" fillId="0" borderId="19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928" fillId="0" borderId="197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930" fillId="0" borderId="19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32" fillId="0" borderId="19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34" fillId="0" borderId="19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36" fillId="0" borderId="19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38" fillId="0" borderId="19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40" fillId="0" borderId="19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42" fillId="0" borderId="19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44" fillId="0" borderId="19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46" fillId="0" borderId="19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48" fillId="0" borderId="19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50" fillId="0" borderId="19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52" fillId="0" borderId="19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54" fillId="0" borderId="19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56" fillId="0" borderId="19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58" fillId="0" borderId="19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60" fillId="0" borderId="19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62" fillId="0" borderId="197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2964" fillId="0" borderId="197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966" fillId="0" borderId="19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968" fillId="0" borderId="197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970" fillId="0" borderId="19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72" fillId="0" borderId="19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74" fillId="0" borderId="19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76" fillId="0" borderId="19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78" fillId="0" borderId="19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80" fillId="0" borderId="19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82" fillId="0" borderId="19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84" fillId="0" borderId="19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86" fillId="0" borderId="19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88" fillId="0" borderId="19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90" fillId="0" borderId="19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92" fillId="0" borderId="19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94" fillId="0" borderId="19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96" fillId="0" borderId="19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98" fillId="0" borderId="19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00" fillId="0" borderId="19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02" fillId="406" borderId="19771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3004" fillId="407" borderId="19772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006" fillId="408" borderId="19773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3008" fillId="409" borderId="19774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010" fillId="0" borderId="19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12" fillId="0" borderId="19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14" fillId="0" borderId="19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16" fillId="0" borderId="19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18" fillId="0" borderId="19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20" fillId="0" borderId="19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22" fillId="0" borderId="19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24" fillId="0" borderId="19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26" fillId="0" borderId="19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28" fillId="0" borderId="19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30" fillId="0" borderId="19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32" fillId="0" borderId="19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34" fillId="0" borderId="19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36" fillId="0" borderId="19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38" fillId="0" borderId="19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40" fillId="0" borderId="19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42" fillId="0" borderId="19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44" fillId="0" borderId="19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46" fillId="0" borderId="19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48" fillId="0" borderId="19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50" fillId="0" borderId="19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52" fillId="0" borderId="19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54" fillId="0" borderId="19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56" fillId="0" borderId="19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58" fillId="0" borderId="19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60" fillId="0" borderId="19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62" fillId="0" borderId="19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64" fillId="0" borderId="19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66" fillId="0" borderId="19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68" fillId="0" borderId="19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70" fillId="0" borderId="19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72" fillId="0" borderId="19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74" fillId="0" borderId="19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76" fillId="0" borderId="19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78" fillId="0" borderId="19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80" fillId="0" borderId="19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82" fillId="0" borderId="19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84" fillId="0" borderId="19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86" fillId="0" borderId="19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88" fillId="0" borderId="19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90" fillId="0" borderId="19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92" fillId="0" borderId="19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94" fillId="0" borderId="19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96" fillId="0" borderId="19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98" fillId="0" borderId="19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00" fillId="0" borderId="19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02" fillId="0" borderId="19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04" fillId="0" borderId="19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06" fillId="0" borderId="19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08" fillId="0" borderId="19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10" fillId="0" borderId="19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12" fillId="0" borderId="19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14" fillId="0" borderId="19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16" fillId="0" borderId="19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18" fillId="0" borderId="19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20" fillId="0" borderId="19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9831" xfId="0"/>
    <xf numFmtId="0" fontId="0" fillId="0" borderId="19832" xfId="0"/>
    <xf numFmtId="0" fontId="0" fillId="0" borderId="19833" xfId="0"/>
    <xf numFmtId="0" fontId="0" fillId="0" borderId="19834" xfId="0"/>
    <xf numFmtId="0" fontId="33122" fillId="0" borderId="19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24" fillId="0" borderId="19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26" fillId="0" borderId="19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28" fillId="0" borderId="19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30" fillId="0" borderId="19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32" fillId="0" borderId="19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34" fillId="0" borderId="19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36" fillId="0" borderId="19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38" fillId="0" borderId="19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40" fillId="0" borderId="19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42" fillId="0" borderId="19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44" fillId="0" borderId="19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46" fillId="0" borderId="19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48" fillId="0" borderId="19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50" fillId="0" borderId="19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52" fillId="0" borderId="19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54" fillId="0" borderId="19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56" fillId="0" borderId="19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58" fillId="0" borderId="19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60" fillId="0" borderId="19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62" fillId="0" borderId="19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64" fillId="0" borderId="19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66" fillId="0" borderId="19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68" fillId="0" borderId="19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70" fillId="0" borderId="19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72" fillId="0" borderId="19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74" fillId="0" borderId="19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76" fillId="0" borderId="19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78" fillId="0" borderId="19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80" fillId="0" borderId="19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82" fillId="0" borderId="19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84" fillId="0" borderId="19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86" fillId="0" borderId="19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88" fillId="0" borderId="19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90" fillId="0" borderId="19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92" fillId="0" borderId="19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94" fillId="0" borderId="19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96" fillId="0" borderId="19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98" fillId="0" borderId="19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00" fillId="0" borderId="19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02" fillId="0" borderId="19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04" fillId="0" borderId="19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06" fillId="0" borderId="19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08" fillId="0" borderId="19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10" fillId="0" borderId="19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12" fillId="0" borderId="19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14" fillId="0" borderId="19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16" fillId="0" borderId="19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18" fillId="0" borderId="19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20" fillId="0" borderId="19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22" fillId="0" borderId="19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24" fillId="0" borderId="19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26" fillId="0" borderId="19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28" fillId="0" borderId="19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30" fillId="0" borderId="19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32" fillId="0" borderId="19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34" fillId="0" borderId="19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36" fillId="0" borderId="19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38" fillId="0" borderId="19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40" fillId="0" borderId="19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42" fillId="0" borderId="19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44" fillId="0" borderId="19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46" fillId="0" borderId="19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48" fillId="0" borderId="19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50" fillId="0" borderId="19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52" fillId="0" borderId="19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54" fillId="0" borderId="19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56" fillId="0" borderId="19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58" fillId="0" borderId="19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60" fillId="0" borderId="19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62" fillId="0" borderId="19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64" fillId="0" borderId="19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66" fillId="0" borderId="19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68" fillId="0" borderId="19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70" fillId="0" borderId="19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72" fillId="0" borderId="19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74" fillId="0" borderId="19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76" fillId="0" borderId="19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78" fillId="0" borderId="19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80" fillId="0" borderId="19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82" fillId="0" borderId="19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84" fillId="0" borderId="19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86" fillId="0" borderId="19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88" fillId="0" borderId="19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90" fillId="0" borderId="19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92" fillId="0" borderId="19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94" fillId="0" borderId="19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96" fillId="0" borderId="19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98" fillId="0" borderId="19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00" fillId="0" borderId="19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02" fillId="0" borderId="19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04" fillId="0" borderId="19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06" fillId="0" borderId="19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08" fillId="0" borderId="19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10" fillId="0" borderId="19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12" fillId="0" borderId="19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14" fillId="0" borderId="19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16" fillId="0" borderId="19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18" fillId="0" borderId="19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20" fillId="0" borderId="19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22" fillId="0" borderId="19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24" fillId="0" borderId="19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26" fillId="0" borderId="19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28" fillId="0" borderId="19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30" fillId="0" borderId="19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32" fillId="0" borderId="19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34" fillId="0" borderId="19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36" fillId="0" borderId="19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38" fillId="0" borderId="19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40" fillId="0" borderId="19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42" fillId="0" borderId="19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44" fillId="0" borderId="19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46" fillId="0" borderId="19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48" fillId="0" borderId="19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50" fillId="0" borderId="19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52" fillId="0" borderId="19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54" fillId="0" borderId="19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56" fillId="0" borderId="19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58" fillId="0" borderId="19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60" fillId="0" borderId="19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62" fillId="0" borderId="19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64" fillId="0" borderId="19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66" fillId="0" borderId="19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68" fillId="0" borderId="19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70" fillId="0" borderId="19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72" fillId="0" borderId="19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74" fillId="0" borderId="19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76" fillId="0" borderId="19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78" fillId="0" borderId="19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80" fillId="0" borderId="19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82" fillId="0" borderId="19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84" fillId="0" borderId="19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86" fillId="0" borderId="19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88" fillId="0" borderId="19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90" fillId="0" borderId="19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92" fillId="0" borderId="19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94" fillId="0" borderId="19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96" fillId="0" borderId="19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98" fillId="0" borderId="19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00" fillId="0" borderId="19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02" fillId="0" borderId="19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04" fillId="0" borderId="19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06" fillId="0" borderId="19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08" fillId="0" borderId="19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10" fillId="0" borderId="19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12" fillId="0" borderId="19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14" fillId="0" borderId="19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16" fillId="0" borderId="19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18" fillId="0" borderId="19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20" fillId="0" borderId="19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22" fillId="0" borderId="19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24" fillId="0" borderId="19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26" fillId="0" borderId="19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28" fillId="0" borderId="19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30" fillId="0" borderId="19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32" fillId="0" borderId="19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34" fillId="0" borderId="19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36" fillId="0" borderId="19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38" fillId="0" borderId="19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40" fillId="0" borderId="19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42" fillId="0" borderId="19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44" fillId="0" borderId="19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46" fillId="0" borderId="19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48" fillId="0" borderId="19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50" fillId="0" borderId="19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52" fillId="0" borderId="20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54" fillId="0" borderId="20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56" fillId="0" borderId="20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58" fillId="0" borderId="20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60" fillId="0" borderId="20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62" fillId="0" borderId="20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64" fillId="0" borderId="20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66" fillId="0" borderId="20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68" fillId="0" borderId="20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70" fillId="0" borderId="20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72" fillId="0" borderId="20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74" fillId="0" borderId="20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76" fillId="0" borderId="20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78" fillId="0" borderId="20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80" fillId="0" borderId="20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82" fillId="0" borderId="20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84" fillId="0" borderId="20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86" fillId="0" borderId="20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88" fillId="0" borderId="20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90" fillId="0" borderId="20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92" fillId="0" borderId="20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94" fillId="0" borderId="20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96" fillId="0" borderId="20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98" fillId="0" borderId="20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00" fillId="0" borderId="20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02" fillId="0" borderId="20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04" fillId="0" borderId="20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06" fillId="0" borderId="20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08" fillId="0" borderId="20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10" fillId="0" borderId="20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12" fillId="0" borderId="20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14" fillId="0" borderId="20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16" fillId="0" borderId="20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18" fillId="0" borderId="20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20" fillId="0" borderId="20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22" fillId="0" borderId="20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24" fillId="0" borderId="20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26" fillId="0" borderId="20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28" fillId="0" borderId="20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30" fillId="0" borderId="20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32" fillId="0" borderId="20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34" fillId="0" borderId="20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36" fillId="0" borderId="20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38" fillId="0" borderId="20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40" fillId="0" borderId="20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42" fillId="0" borderId="20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44" fillId="0" borderId="20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46" fillId="0" borderId="20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48" fillId="0" borderId="20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50" fillId="0" borderId="20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52" fillId="0" borderId="20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54" fillId="0" borderId="20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56" fillId="0" borderId="20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58" fillId="0" borderId="20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60" fillId="0" borderId="20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62" fillId="0" borderId="20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64" fillId="0" borderId="20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66" fillId="0" borderId="20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68" fillId="0" borderId="20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70" fillId="0" borderId="20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72" fillId="0" borderId="20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74" fillId="0" borderId="20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76" fillId="0" borderId="20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78" fillId="0" borderId="20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80" fillId="0" borderId="20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82" fillId="0" borderId="20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84" fillId="0" borderId="20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86" fillId="0" borderId="20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88" fillId="0" borderId="20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90" fillId="0" borderId="20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92" fillId="0" borderId="20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94" fillId="0" borderId="20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96" fillId="0" borderId="20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98" fillId="0" borderId="20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00" fillId="0" borderId="20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02" fillId="0" borderId="20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04" fillId="0" borderId="20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06" fillId="0" borderId="20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08" fillId="0" borderId="20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10" fillId="0" borderId="20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12" fillId="0" borderId="20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14" fillId="0" borderId="20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16" fillId="0" borderId="20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18" fillId="0" borderId="20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20" fillId="0" borderId="20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22" fillId="0" borderId="20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24" fillId="0" borderId="20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26" fillId="0" borderId="20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28" fillId="0" borderId="20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30" fillId="0" borderId="20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32" fillId="0" borderId="20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34" fillId="0" borderId="20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36" fillId="0" borderId="20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38" fillId="0" borderId="20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40" fillId="0" borderId="20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42" fillId="0" borderId="20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44" fillId="0" borderId="20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46" fillId="0" borderId="20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48" fillId="0" borderId="20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50" fillId="0" borderId="20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52" fillId="0" borderId="20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54" fillId="0" borderId="20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56" fillId="0" borderId="20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58" fillId="0" borderId="20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60" fillId="0" borderId="20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62" fillId="0" borderId="20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64" fillId="0" borderId="20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66" fillId="0" borderId="20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68" fillId="0" borderId="20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70" fillId="0" borderId="20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72" fillId="0" borderId="20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74" fillId="0" borderId="20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76" fillId="0" borderId="20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78" fillId="0" borderId="20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80" fillId="0" borderId="20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82" fillId="0" borderId="20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84" fillId="0" borderId="20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86" fillId="0" borderId="20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88" fillId="0" borderId="20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90" fillId="0" borderId="20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92" fillId="0" borderId="20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94" fillId="0" borderId="20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96" fillId="0" borderId="20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98" fillId="0" borderId="20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00" fillId="0" borderId="20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02" fillId="0" borderId="20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04" fillId="0" borderId="20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06" fillId="0" borderId="20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08" fillId="0" borderId="20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10" fillId="0" borderId="20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12" fillId="0" borderId="20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14" fillId="0" borderId="20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16" fillId="0" borderId="20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18" fillId="0" borderId="20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20" fillId="0" borderId="20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22" fillId="0" borderId="20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24" fillId="0" borderId="20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26" fillId="0" borderId="20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28" fillId="0" borderId="20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30" fillId="0" borderId="20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32" fillId="0" borderId="20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34" fillId="0" borderId="20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36" fillId="0" borderId="20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38" fillId="0" borderId="20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40" fillId="0" borderId="20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42" fillId="0" borderId="20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44" fillId="0" borderId="20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46" fillId="0" borderId="20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48" fillId="0" borderId="20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50" fillId="0" borderId="20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52" fillId="0" borderId="20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54" fillId="0" borderId="20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56" fillId="0" borderId="20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58" fillId="0" borderId="20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60" fillId="0" borderId="20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62" fillId="0" borderId="20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64" fillId="0" borderId="20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66" fillId="0" borderId="20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68" fillId="0" borderId="20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70" fillId="0" borderId="20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72" fillId="0" borderId="20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74" fillId="0" borderId="20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76" fillId="0" borderId="20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78" fillId="0" borderId="20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80" fillId="0" borderId="20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82" fillId="0" borderId="20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84" fillId="0" borderId="20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86" fillId="0" borderId="20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88" fillId="0" borderId="20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90" fillId="0" borderId="20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92" fillId="0" borderId="20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94" fillId="0" borderId="20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96" fillId="0" borderId="20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98" fillId="0" borderId="20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00" fillId="0" borderId="20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02" fillId="0" borderId="20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04" fillId="0" borderId="20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06" fillId="0" borderId="20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08" fillId="0" borderId="20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10" fillId="0" borderId="20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12" fillId="0" borderId="20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14" fillId="0" borderId="20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16" fillId="0" borderId="20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18" fillId="0" borderId="20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20" fillId="0" borderId="20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22" fillId="0" borderId="20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24" fillId="0" borderId="20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26" fillId="0" borderId="20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28" fillId="0" borderId="20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30" fillId="0" borderId="20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32" fillId="0" borderId="20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34" fillId="0" borderId="20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36" fillId="0" borderId="20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38" fillId="0" borderId="20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40" fillId="0" borderId="20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42" fillId="0" borderId="20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44" fillId="0" borderId="20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46" fillId="0" borderId="20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48" fillId="0" borderId="20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50" fillId="0" borderId="20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52" fillId="0" borderId="20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54" fillId="0" borderId="20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56" fillId="0" borderId="20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58" fillId="0" borderId="20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60" fillId="0" borderId="20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62" fillId="0" borderId="20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64" fillId="0" borderId="20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66" fillId="0" borderId="20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68" fillId="0" borderId="20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70" fillId="0" borderId="20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72" fillId="0" borderId="20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74" fillId="0" borderId="20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76" fillId="0" borderId="20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78" fillId="0" borderId="20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80" fillId="0" borderId="20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82" fillId="0" borderId="20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84" fillId="0" borderId="20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86" fillId="0" borderId="20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88" fillId="0" borderId="20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90" fillId="0" borderId="20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92" fillId="0" borderId="20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94" fillId="0" borderId="20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96" fillId="0" borderId="20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98" fillId="0" borderId="20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00" fillId="0" borderId="20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02" fillId="0" borderId="20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04" fillId="0" borderId="20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06" fillId="0" borderId="20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08" fillId="0" borderId="20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10" fillId="0" borderId="20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12" fillId="0" borderId="20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14" fillId="0" borderId="20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16" fillId="0" borderId="20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18" fillId="0" borderId="20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20" fillId="0" borderId="20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34"/>
  <sheetViews>
    <sheetView workbookViewId="0"/>
  </sheetViews>
  <sheetFormatPr defaultRowHeight="15"/>
  <cols>
    <col min="1" max="1" width="20.453125" style="19831" customWidth="true"/>
    <col min="2" max="2" width="10.453125" style="19832" customWidth="true"/>
    <col min="3" max="3" width="80.453125" style="19833" customWidth="true"/>
    <col min="4" max="4" width="15.453125" style="19834" customWidth="true"/>
  </cols>
  <sheetData>
    <row r="1">
      <c r="A1" s="19835" t="s">
        <v>0</v>
      </c>
      <c r="B1" s="19836"/>
      <c r="C1" s="19837"/>
      <c r="D1" s="19838"/>
      <c r="E1" s="19839"/>
      <c r="F1" s="19840"/>
      <c r="G1" s="19841"/>
      <c r="H1" s="19842"/>
      <c r="I1" s="19843"/>
      <c r="J1" s="19844"/>
      <c r="K1" s="19845"/>
      <c r="L1" s="19846"/>
      <c r="M1" s="19847"/>
      <c r="N1" s="19848"/>
      <c r="O1" s="19849"/>
      <c r="P1" s="19850"/>
      <c r="Q1" s="19851"/>
      <c r="R1" s="19852"/>
      <c r="S1" s="19853"/>
      <c r="T1" s="19854"/>
    </row>
    <row r="2">
      <c r="A2" s="19855" t="s">
        <v>67</v>
      </c>
      <c r="B2" s="19856" t="s">
        <v>1</v>
      </c>
      <c r="C2" s="19857" t="s">
        <v>2</v>
      </c>
      <c r="D2" s="19858">
        <f>HYPERLINK("#'Table-1'!A1", "Go To Table 1")</f>
      </c>
      <c r="E2" s="19859"/>
      <c r="F2" s="19860"/>
      <c r="G2" s="19861"/>
      <c r="H2" s="19862"/>
      <c r="I2" s="19863"/>
      <c r="J2" s="19864"/>
      <c r="K2" s="19865"/>
      <c r="L2" s="19866"/>
      <c r="M2" s="19867"/>
      <c r="N2" s="19868"/>
      <c r="O2" s="19869"/>
      <c r="P2" s="19870"/>
      <c r="Q2" s="19871"/>
      <c r="R2" s="19872"/>
      <c r="S2" s="19873"/>
      <c r="T2" s="19874"/>
    </row>
    <row r="3">
      <c r="A3" s="19875"/>
      <c r="B3" s="19876" t="s">
        <v>3</v>
      </c>
      <c r="C3" s="19877" t="s">
        <v>4</v>
      </c>
      <c r="D3" s="19878">
        <f>HYPERLINK("#'Table-2'!A1", "Go To Table 2")</f>
      </c>
      <c r="E3" s="19879"/>
      <c r="F3" s="19880"/>
      <c r="G3" s="19881"/>
      <c r="H3" s="19882"/>
      <c r="I3" s="19883"/>
      <c r="J3" s="19884"/>
      <c r="K3" s="19885"/>
      <c r="L3" s="19886"/>
      <c r="M3" s="19887"/>
      <c r="N3" s="19888"/>
      <c r="O3" s="19889"/>
      <c r="P3" s="19890"/>
      <c r="Q3" s="19891"/>
      <c r="R3" s="19892"/>
      <c r="S3" s="19893"/>
      <c r="T3" s="19894"/>
    </row>
    <row r="4">
      <c r="A4" s="19895" t="s">
        <v>68</v>
      </c>
      <c r="B4" s="19896" t="s">
        <v>5</v>
      </c>
      <c r="C4" s="19897" t="s">
        <v>6</v>
      </c>
      <c r="D4" s="19898">
        <f>HYPERLINK("#'Table-3'!A1", "Go To Table 3")</f>
      </c>
      <c r="E4" s="19899"/>
      <c r="F4" s="19900"/>
      <c r="G4" s="19901"/>
      <c r="H4" s="19902"/>
      <c r="I4" s="19903"/>
      <c r="J4" s="19904"/>
      <c r="K4" s="19905"/>
      <c r="L4" s="19906"/>
      <c r="M4" s="19907"/>
      <c r="N4" s="19908"/>
      <c r="O4" s="19909"/>
      <c r="P4" s="19910"/>
      <c r="Q4" s="19911"/>
      <c r="R4" s="19912"/>
      <c r="S4" s="19913"/>
      <c r="T4" s="19914"/>
    </row>
    <row r="5">
      <c r="A5" s="19915"/>
      <c r="B5" s="19916" t="s">
        <v>7</v>
      </c>
      <c r="C5" s="19917" t="s">
        <v>8</v>
      </c>
      <c r="D5" s="19918">
        <f>HYPERLINK("#'Table-4'!A1", "Go To Table 4")</f>
      </c>
      <c r="E5" s="19919"/>
      <c r="F5" s="19920"/>
      <c r="G5" s="19921"/>
      <c r="H5" s="19922"/>
      <c r="I5" s="19923"/>
      <c r="J5" s="19924"/>
      <c r="K5" s="19925"/>
      <c r="L5" s="19926"/>
      <c r="M5" s="19927"/>
      <c r="N5" s="19928"/>
      <c r="O5" s="19929"/>
      <c r="P5" s="19930"/>
      <c r="Q5" s="19931"/>
      <c r="R5" s="19932"/>
      <c r="S5" s="19933"/>
      <c r="T5" s="19934"/>
    </row>
    <row r="6">
      <c r="A6" s="19935"/>
      <c r="B6" s="19936" t="s">
        <v>9</v>
      </c>
      <c r="C6" s="19937" t="s">
        <v>10</v>
      </c>
      <c r="D6" s="19938">
        <f>HYPERLINK("#'Table-5'!A1", "Go To Table 5")</f>
      </c>
      <c r="E6" s="19939"/>
      <c r="F6" s="19940"/>
      <c r="G6" s="19941"/>
      <c r="H6" s="19942"/>
      <c r="I6" s="19943"/>
      <c r="J6" s="19944"/>
      <c r="K6" s="19945"/>
      <c r="L6" s="19946"/>
      <c r="M6" s="19947"/>
      <c r="N6" s="19948"/>
      <c r="O6" s="19949"/>
      <c r="P6" s="19950"/>
      <c r="Q6" s="19951"/>
      <c r="R6" s="19952"/>
      <c r="S6" s="19953"/>
      <c r="T6" s="19954"/>
    </row>
    <row r="7">
      <c r="A7" s="19955"/>
      <c r="B7" s="19956" t="s">
        <v>11</v>
      </c>
      <c r="C7" s="19957" t="s">
        <v>12</v>
      </c>
      <c r="D7" s="19958">
        <f>HYPERLINK("#'Table-6'!A1", "Go To Table 6")</f>
      </c>
      <c r="E7" s="19959"/>
      <c r="F7" s="19960"/>
      <c r="G7" s="19961"/>
      <c r="H7" s="19962"/>
      <c r="I7" s="19963"/>
      <c r="J7" s="19964"/>
      <c r="K7" s="19965"/>
      <c r="L7" s="19966"/>
      <c r="M7" s="19967"/>
      <c r="N7" s="19968"/>
      <c r="O7" s="19969"/>
      <c r="P7" s="19970"/>
      <c r="Q7" s="19971"/>
      <c r="R7" s="19972"/>
      <c r="S7" s="19973"/>
      <c r="T7" s="19974"/>
    </row>
    <row r="8">
      <c r="A8" s="19975" t="s">
        <v>69</v>
      </c>
      <c r="B8" s="19976" t="s">
        <v>13</v>
      </c>
      <c r="C8" s="19977" t="s">
        <v>14</v>
      </c>
      <c r="D8" s="19978">
        <f>HYPERLINK("#'Table-7'!A1", "Go To Table 7")</f>
      </c>
      <c r="E8" s="19979"/>
      <c r="F8" s="19980"/>
      <c r="G8" s="19981"/>
      <c r="H8" s="19982"/>
      <c r="I8" s="19983"/>
      <c r="J8" s="19984"/>
      <c r="K8" s="19985"/>
      <c r="L8" s="19986"/>
      <c r="M8" s="19987"/>
      <c r="N8" s="19988"/>
      <c r="O8" s="19989"/>
      <c r="P8" s="19990"/>
      <c r="Q8" s="19991"/>
      <c r="R8" s="19992"/>
      <c r="S8" s="19993"/>
      <c r="T8" s="19994"/>
    </row>
    <row r="9">
      <c r="A9" s="19995"/>
      <c r="B9" s="19996" t="s">
        <v>15</v>
      </c>
      <c r="C9" s="19997" t="s">
        <v>16</v>
      </c>
      <c r="D9" s="19998">
        <f>HYPERLINK("#'Table-8'!A1", "Go To Table 8")</f>
      </c>
      <c r="E9" s="19999"/>
      <c r="F9" s="20000"/>
      <c r="G9" s="20001"/>
      <c r="H9" s="20002"/>
      <c r="I9" s="20003"/>
      <c r="J9" s="20004"/>
      <c r="K9" s="20005"/>
      <c r="L9" s="20006"/>
      <c r="M9" s="20007"/>
      <c r="N9" s="20008"/>
      <c r="O9" s="20009"/>
      <c r="P9" s="20010"/>
      <c r="Q9" s="20011"/>
      <c r="R9" s="20012"/>
      <c r="S9" s="20013"/>
      <c r="T9" s="20014"/>
    </row>
    <row r="10">
      <c r="A10" s="20015"/>
      <c r="B10" s="20016" t="s">
        <v>17</v>
      </c>
      <c r="C10" s="20017" t="s">
        <v>18</v>
      </c>
      <c r="D10" s="20018">
        <f>HYPERLINK("#'Table-9'!A1", "Go To Table 9")</f>
      </c>
      <c r="E10" s="20019"/>
      <c r="F10" s="20020"/>
      <c r="G10" s="20021"/>
      <c r="H10" s="20022"/>
      <c r="I10" s="20023"/>
      <c r="J10" s="20024"/>
      <c r="K10" s="20025"/>
      <c r="L10" s="20026"/>
      <c r="M10" s="20027"/>
      <c r="N10" s="20028"/>
      <c r="O10" s="20029"/>
      <c r="P10" s="20030"/>
      <c r="Q10" s="20031"/>
      <c r="R10" s="20032"/>
      <c r="S10" s="20033"/>
      <c r="T10" s="20034"/>
    </row>
    <row r="11">
      <c r="A11" s="20035"/>
      <c r="B11" s="20036" t="s">
        <v>19</v>
      </c>
      <c r="C11" s="20037" t="s">
        <v>20</v>
      </c>
      <c r="D11" s="20038">
        <f>HYPERLINK("#'Table-10'!A1", "Go To Table 10")</f>
      </c>
      <c r="E11" s="20039"/>
      <c r="F11" s="20040"/>
      <c r="G11" s="20041"/>
      <c r="H11" s="20042"/>
      <c r="I11" s="20043"/>
      <c r="J11" s="20044"/>
      <c r="K11" s="20045"/>
      <c r="L11" s="20046"/>
      <c r="M11" s="20047"/>
      <c r="N11" s="20048"/>
      <c r="O11" s="20049"/>
      <c r="P11" s="20050"/>
      <c r="Q11" s="20051"/>
      <c r="R11" s="20052"/>
      <c r="S11" s="20053"/>
      <c r="T11" s="20054"/>
    </row>
    <row r="12">
      <c r="A12" s="20055" t="s">
        <v>70</v>
      </c>
      <c r="B12" s="20056" t="s">
        <v>21</v>
      </c>
      <c r="C12" s="20057" t="s">
        <v>22</v>
      </c>
      <c r="D12" s="20058">
        <f>HYPERLINK("#'Table-11'!A1", "Go To Table 11")</f>
      </c>
      <c r="E12" s="20059"/>
      <c r="F12" s="20060"/>
      <c r="G12" s="20061"/>
      <c r="H12" s="20062"/>
      <c r="I12" s="20063"/>
      <c r="J12" s="20064"/>
      <c r="K12" s="20065"/>
      <c r="L12" s="20066"/>
      <c r="M12" s="20067"/>
      <c r="N12" s="20068"/>
      <c r="O12" s="20069"/>
      <c r="P12" s="20070"/>
      <c r="Q12" s="20071"/>
      <c r="R12" s="20072"/>
      <c r="S12" s="20073"/>
      <c r="T12" s="20074"/>
    </row>
    <row r="13">
      <c r="A13" s="20075"/>
      <c r="B13" s="20076" t="s">
        <v>23</v>
      </c>
      <c r="C13" s="20077" t="s">
        <v>24</v>
      </c>
      <c r="D13" s="20078">
        <f>HYPERLINK("#'Table-12'!A1", "Go To Table 12")</f>
      </c>
      <c r="E13" s="20079"/>
      <c r="F13" s="20080"/>
      <c r="G13" s="20081"/>
      <c r="H13" s="20082"/>
      <c r="I13" s="20083"/>
      <c r="J13" s="20084"/>
      <c r="K13" s="20085"/>
      <c r="L13" s="20086"/>
      <c r="M13" s="20087"/>
      <c r="N13" s="20088"/>
      <c r="O13" s="20089"/>
      <c r="P13" s="20090"/>
      <c r="Q13" s="20091"/>
      <c r="R13" s="20092"/>
      <c r="S13" s="20093"/>
      <c r="T13" s="20094"/>
    </row>
    <row r="14">
      <c r="A14" s="20095" t="s">
        <v>71</v>
      </c>
      <c r="B14" s="20096" t="s">
        <v>25</v>
      </c>
      <c r="C14" s="20097" t="s">
        <v>26</v>
      </c>
      <c r="D14" s="20098">
        <f>HYPERLINK("#'Table-13'!A1", "Go To Table 13")</f>
      </c>
      <c r="E14" s="20099"/>
      <c r="F14" s="20100"/>
      <c r="G14" s="20101"/>
      <c r="H14" s="20102"/>
      <c r="I14" s="20103"/>
      <c r="J14" s="20104"/>
      <c r="K14" s="20105"/>
      <c r="L14" s="20106"/>
      <c r="M14" s="20107"/>
      <c r="N14" s="20108"/>
      <c r="O14" s="20109"/>
      <c r="P14" s="20110"/>
      <c r="Q14" s="20111"/>
      <c r="R14" s="20112"/>
      <c r="S14" s="20113"/>
      <c r="T14" s="20114"/>
    </row>
    <row r="15">
      <c r="A15" s="20115"/>
      <c r="B15" s="20116" t="s">
        <v>27</v>
      </c>
      <c r="C15" s="20117" t="s">
        <v>28</v>
      </c>
      <c r="D15" s="20118">
        <f>HYPERLINK("#'Table-14'!A1", "Go To Table 14")</f>
      </c>
      <c r="E15" s="20119"/>
      <c r="F15" s="20120"/>
      <c r="G15" s="20121"/>
      <c r="H15" s="20122"/>
      <c r="I15" s="20123"/>
      <c r="J15" s="20124"/>
      <c r="K15" s="20125"/>
      <c r="L15" s="20126"/>
      <c r="M15" s="20127"/>
      <c r="N15" s="20128"/>
      <c r="O15" s="20129"/>
      <c r="P15" s="20130"/>
      <c r="Q15" s="20131"/>
      <c r="R15" s="20132"/>
      <c r="S15" s="20133"/>
      <c r="T15" s="20134"/>
    </row>
    <row r="16">
      <c r="A16" s="20135"/>
      <c r="B16" s="20136" t="s">
        <v>29</v>
      </c>
      <c r="C16" s="20137" t="s">
        <v>30</v>
      </c>
      <c r="D16" s="20138">
        <f>HYPERLINK("#'Table-15'!A1", "Go To Table 15")</f>
      </c>
      <c r="E16" s="20139"/>
      <c r="F16" s="20140"/>
      <c r="G16" s="20141"/>
      <c r="H16" s="20142"/>
      <c r="I16" s="20143"/>
      <c r="J16" s="20144"/>
      <c r="K16" s="20145"/>
      <c r="L16" s="20146"/>
      <c r="M16" s="20147"/>
      <c r="N16" s="20148"/>
      <c r="O16" s="20149"/>
      <c r="P16" s="20150"/>
      <c r="Q16" s="20151"/>
      <c r="R16" s="20152"/>
      <c r="S16" s="20153"/>
      <c r="T16" s="20154"/>
    </row>
    <row r="17">
      <c r="A17" s="20155"/>
      <c r="B17" s="20156" t="s">
        <v>31</v>
      </c>
      <c r="C17" s="20157" t="s">
        <v>32</v>
      </c>
      <c r="D17" s="20158">
        <f>HYPERLINK("#'Table-16'!A1", "Go To Table 16")</f>
      </c>
      <c r="E17" s="20159"/>
      <c r="F17" s="20160"/>
      <c r="G17" s="20161"/>
      <c r="H17" s="20162"/>
      <c r="I17" s="20163"/>
      <c r="J17" s="20164"/>
      <c r="K17" s="20165"/>
      <c r="L17" s="20166"/>
      <c r="M17" s="20167"/>
      <c r="N17" s="20168"/>
      <c r="O17" s="20169"/>
      <c r="P17" s="20170"/>
      <c r="Q17" s="20171"/>
      <c r="R17" s="20172"/>
      <c r="S17" s="20173"/>
      <c r="T17" s="20174"/>
    </row>
    <row r="18">
      <c r="A18" s="20175" t="s">
        <v>72</v>
      </c>
      <c r="B18" s="20176" t="s">
        <v>33</v>
      </c>
      <c r="C18" s="20177" t="s">
        <v>34</v>
      </c>
      <c r="D18" s="20178">
        <f>HYPERLINK("#'Table-17'!A1", "Go To Table 17")</f>
      </c>
      <c r="E18" s="20179"/>
      <c r="F18" s="20180"/>
      <c r="G18" s="20181"/>
      <c r="H18" s="20182"/>
      <c r="I18" s="20183"/>
      <c r="J18" s="20184"/>
      <c r="K18" s="20185"/>
      <c r="L18" s="20186"/>
      <c r="M18" s="20187"/>
      <c r="N18" s="20188"/>
      <c r="O18" s="20189"/>
      <c r="P18" s="20190"/>
      <c r="Q18" s="20191"/>
      <c r="R18" s="20192"/>
      <c r="S18" s="20193"/>
      <c r="T18" s="20194"/>
    </row>
    <row r="19">
      <c r="A19" s="20195" t="s">
        <v>73</v>
      </c>
      <c r="B19" s="20196" t="s">
        <v>35</v>
      </c>
      <c r="C19" s="20197" t="s">
        <v>36</v>
      </c>
      <c r="D19" s="20198">
        <f>HYPERLINK("#'Table-18'!A1", "Go To Table 18")</f>
      </c>
      <c r="E19" s="20199"/>
      <c r="F19" s="20200"/>
      <c r="G19" s="20201"/>
      <c r="H19" s="20202"/>
      <c r="I19" s="20203"/>
      <c r="J19" s="20204"/>
      <c r="K19" s="20205"/>
      <c r="L19" s="20206"/>
      <c r="M19" s="20207"/>
      <c r="N19" s="20208"/>
      <c r="O19" s="20209"/>
      <c r="P19" s="20210"/>
      <c r="Q19" s="20211"/>
      <c r="R19" s="20212"/>
      <c r="S19" s="20213"/>
      <c r="T19" s="20214"/>
    </row>
    <row r="20">
      <c r="A20" s="20215"/>
      <c r="B20" s="20216" t="s">
        <v>37</v>
      </c>
      <c r="C20" s="20217" t="s">
        <v>38</v>
      </c>
      <c r="D20" s="20218">
        <f>HYPERLINK("#'Table-19'!A1", "Go To Table 19")</f>
      </c>
      <c r="E20" s="20219"/>
      <c r="F20" s="20220"/>
      <c r="G20" s="20221"/>
      <c r="H20" s="20222"/>
      <c r="I20" s="20223"/>
      <c r="J20" s="20224"/>
      <c r="K20" s="20225"/>
      <c r="L20" s="20226"/>
      <c r="M20" s="20227"/>
      <c r="N20" s="20228"/>
      <c r="O20" s="20229"/>
      <c r="P20" s="20230"/>
      <c r="Q20" s="20231"/>
      <c r="R20" s="20232"/>
      <c r="S20" s="20233"/>
      <c r="T20" s="20234"/>
    </row>
    <row r="21">
      <c r="B21" s="80" t="s">
        <v>39</v>
      </c>
      <c r="C21" s="81" t="s">
        <v>40</v>
      </c>
      <c r="D21" s="82">
        <f>HYPERLINK("#'Table-20'!A1", "Go To Table 20")</f>
      </c>
    </row>
    <row r="22">
      <c r="B22" s="84" t="s">
        <v>41</v>
      </c>
      <c r="C22" s="85" t="s">
        <v>42</v>
      </c>
      <c r="D22" s="86">
        <f>HYPERLINK("#'Table-21'!A1", "Go To Table 21")</f>
      </c>
    </row>
    <row r="23">
      <c r="B23" s="88" t="s">
        <v>43</v>
      </c>
      <c r="C23" s="89" t="s">
        <v>44</v>
      </c>
      <c r="D23" s="90">
        <f>HYPERLINK("#'Table-22'!A1", "Go To Table 22")</f>
      </c>
    </row>
    <row r="24">
      <c r="B24" s="92" t="s">
        <v>45</v>
      </c>
      <c r="C24" s="93" t="s">
        <v>46</v>
      </c>
      <c r="D24" s="94">
        <f>HYPERLINK("#'Table-23'!A1", "Go To Table 23")</f>
      </c>
    </row>
    <row r="25">
      <c r="A25" s="150" t="s">
        <v>74</v>
      </c>
      <c r="B25" s="96" t="s">
        <v>47</v>
      </c>
      <c r="C25" s="97" t="s">
        <v>48</v>
      </c>
      <c r="D25" s="98">
        <f>HYPERLINK("#'Table-24'!A1", "Go To Table 24")</f>
      </c>
    </row>
    <row r="26">
      <c r="A26" s="152" t="s">
        <v>75</v>
      </c>
      <c r="B26" s="100" t="s">
        <v>49</v>
      </c>
      <c r="C26" s="101" t="s">
        <v>50</v>
      </c>
      <c r="D26" s="102">
        <f>HYPERLINK("#'Table-25'!A1", "Go To Table 25")</f>
      </c>
    </row>
    <row r="27">
      <c r="B27" s="104" t="s">
        <v>51</v>
      </c>
      <c r="C27" s="105" t="s">
        <v>52</v>
      </c>
      <c r="D27" s="106">
        <f>HYPERLINK("#'Table-26'!A1", "Go To Table 26")</f>
      </c>
    </row>
    <row r="28">
      <c r="A28" s="154" t="s">
        <v>76</v>
      </c>
      <c r="B28" s="108" t="s">
        <v>53</v>
      </c>
      <c r="C28" s="109" t="s">
        <v>54</v>
      </c>
      <c r="D28" s="110">
        <f>HYPERLINK("#'Table-27'!A1", "Go To Table 27")</f>
      </c>
    </row>
    <row r="29">
      <c r="B29" s="112" t="s">
        <v>55</v>
      </c>
      <c r="C29" s="113" t="s">
        <v>56</v>
      </c>
      <c r="D29" s="114">
        <f>HYPERLINK("#'Table-28'!A1", "Go To Table 28")</f>
      </c>
    </row>
    <row r="30">
      <c r="B30" s="116" t="s">
        <v>57</v>
      </c>
      <c r="C30" s="117" t="s">
        <v>58</v>
      </c>
      <c r="D30" s="118">
        <f>HYPERLINK("#'Table-29'!A1", "Go To Table 29")</f>
      </c>
    </row>
    <row r="31">
      <c r="B31" s="120" t="s">
        <v>59</v>
      </c>
      <c r="C31" s="121" t="s">
        <v>60</v>
      </c>
      <c r="D31" s="122">
        <f>HYPERLINK("#'Table-30'!A1", "Go To Table 30")</f>
      </c>
    </row>
    <row r="32">
      <c r="B32" s="124" t="s">
        <v>61</v>
      </c>
      <c r="C32" s="125" t="s">
        <v>62</v>
      </c>
      <c r="D32" s="126">
        <f>HYPERLINK("#'Table-31'!A1", "Go To Table 31")</f>
      </c>
    </row>
    <row r="33">
      <c r="B33" s="128" t="s">
        <v>63</v>
      </c>
      <c r="C33" s="129" t="s">
        <v>64</v>
      </c>
      <c r="D33" s="130">
        <f>HYPERLINK("#'Table-32'!A1", "Go To Table 32")</f>
      </c>
    </row>
    <row r="34">
      <c r="A34" s="156" t="s">
        <v>77</v>
      </c>
      <c r="B34" s="132" t="s">
        <v>65</v>
      </c>
      <c r="C34" s="133" t="s">
        <v>66</v>
      </c>
      <c r="D34" s="134">
        <f>HYPERLINK("#'Table-33'!A1", "Go To Table 33")</f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6" width="15.453125" style="6598" customWidth="true"/>
  </cols>
  <sheetData>
    <row r="1">
      <c r="A1" s="6599" t="s">
        <v>78</v>
      </c>
      <c r="B1" s="6600"/>
      <c r="C1" s="6601"/>
      <c r="D1" s="6602"/>
      <c r="E1" s="6603"/>
      <c r="F1" s="6604"/>
      <c r="G1" s="6605"/>
      <c r="H1" s="6606"/>
      <c r="I1" s="6607"/>
      <c r="J1" s="6608"/>
      <c r="K1" s="6609"/>
      <c r="L1" s="6610"/>
      <c r="M1" s="6611"/>
      <c r="N1" s="6612"/>
      <c r="O1" s="6613"/>
      <c r="P1" s="6614"/>
      <c r="Q1" s="6615"/>
      <c r="R1" s="6616"/>
      <c r="S1" s="6617"/>
      <c r="T1" s="6618"/>
    </row>
    <row r="2">
      <c r="A2" s="6619"/>
      <c r="B2" s="6620" t="s">
        <v>79</v>
      </c>
      <c r="C2" s="6621" t="s">
        <v>80</v>
      </c>
      <c r="D2" s="6622" t="s">
        <v>81</v>
      </c>
      <c r="E2" s="6623"/>
      <c r="F2" s="6624"/>
      <c r="G2" s="6625"/>
      <c r="H2" s="6626"/>
      <c r="I2" s="6627"/>
      <c r="J2" s="6628"/>
      <c r="K2" s="6629"/>
      <c r="L2" s="6630"/>
      <c r="M2" s="6631"/>
      <c r="N2" s="6632"/>
      <c r="O2" s="6633"/>
      <c r="P2" s="6634"/>
      <c r="Q2" s="6635"/>
      <c r="R2" s="6636"/>
      <c r="S2" s="6637"/>
      <c r="T2" s="6638"/>
    </row>
    <row r="3">
      <c r="A3" s="6639" t="s">
        <v>82</v>
      </c>
      <c r="B3" s="6640"/>
      <c r="C3" s="6641"/>
      <c r="D3" s="6642"/>
      <c r="E3" s="6643"/>
      <c r="F3" s="6644"/>
      <c r="G3" s="6645"/>
      <c r="H3" s="6646"/>
      <c r="I3" s="6647"/>
      <c r="J3" s="6648"/>
      <c r="K3" s="6649"/>
      <c r="L3" s="6650"/>
      <c r="M3" s="6651"/>
      <c r="N3" s="6652"/>
      <c r="O3" s="6653"/>
      <c r="P3" s="6654"/>
      <c r="Q3" s="6655"/>
      <c r="R3" s="6656"/>
      <c r="S3" s="6657"/>
      <c r="T3" s="6658"/>
    </row>
    <row r="4">
      <c r="A4" s="6659" t="s">
        <v>83</v>
      </c>
      <c r="B4" s="6660">
        <v>9</v>
      </c>
      <c r="C4" s="6661">
        <v>429</v>
      </c>
      <c r="D4" s="6662">
        <v>2.0979020979020979</v>
      </c>
      <c r="E4" s="6663"/>
      <c r="F4" s="6664"/>
      <c r="G4" s="6665"/>
      <c r="H4" s="6666"/>
      <c r="I4" s="6667"/>
      <c r="J4" s="6668"/>
      <c r="K4" s="6669"/>
      <c r="L4" s="6670"/>
      <c r="M4" s="6671"/>
      <c r="N4" s="6672"/>
      <c r="O4" s="6673"/>
      <c r="P4" s="6674"/>
      <c r="Q4" s="6675"/>
      <c r="R4" s="6676"/>
      <c r="S4" s="6677"/>
      <c r="T4" s="6678"/>
    </row>
    <row r="5">
      <c r="A5" s="6679" t="s">
        <v>84</v>
      </c>
      <c r="B5" s="6680">
        <v>2</v>
      </c>
      <c r="C5" s="6681">
        <v>385</v>
      </c>
      <c r="D5" s="6682">
        <v>0.51948051948051943</v>
      </c>
      <c r="E5" s="6683"/>
      <c r="F5" s="6684"/>
      <c r="G5" s="6685"/>
      <c r="H5" s="6686"/>
      <c r="I5" s="6687"/>
      <c r="J5" s="6688"/>
      <c r="K5" s="6689"/>
      <c r="L5" s="6690"/>
      <c r="M5" s="6691"/>
      <c r="N5" s="6692"/>
      <c r="O5" s="6693"/>
      <c r="P5" s="6694"/>
      <c r="Q5" s="6695"/>
      <c r="R5" s="6696"/>
      <c r="S5" s="6697"/>
      <c r="T5" s="6698"/>
    </row>
    <row r="6">
      <c r="A6" s="6699" t="s">
        <v>85</v>
      </c>
      <c r="B6" s="6700">
        <v>0</v>
      </c>
      <c r="C6" s="6701">
        <v>397</v>
      </c>
      <c r="D6" s="6702">
        <v>0</v>
      </c>
      <c r="E6" s="6703"/>
      <c r="F6" s="6704"/>
      <c r="G6" s="6705"/>
      <c r="H6" s="6706"/>
      <c r="I6" s="6707"/>
      <c r="J6" s="6708"/>
      <c r="K6" s="6709"/>
      <c r="L6" s="6710"/>
      <c r="M6" s="6711"/>
      <c r="N6" s="6712"/>
      <c r="O6" s="6713"/>
      <c r="P6" s="6714"/>
      <c r="Q6" s="6715"/>
      <c r="R6" s="6716"/>
      <c r="S6" s="6717"/>
      <c r="T6" s="6718"/>
    </row>
    <row r="7">
      <c r="A7" s="6719" t="s">
        <v>86</v>
      </c>
      <c r="B7" s="6720">
        <v>0</v>
      </c>
      <c r="C7" s="6721">
        <v>544</v>
      </c>
      <c r="D7" s="6722">
        <v>0</v>
      </c>
      <c r="E7" s="6723"/>
      <c r="F7" s="6724"/>
      <c r="G7" s="6725"/>
      <c r="H7" s="6726"/>
      <c r="I7" s="6727"/>
      <c r="J7" s="6728"/>
      <c r="K7" s="6729"/>
      <c r="L7" s="6730"/>
      <c r="M7" s="6731"/>
      <c r="N7" s="6732"/>
      <c r="O7" s="6733"/>
      <c r="P7" s="6734"/>
      <c r="Q7" s="6735"/>
      <c r="R7" s="6736"/>
      <c r="S7" s="6737"/>
      <c r="T7" s="6738"/>
    </row>
    <row r="8">
      <c r="A8" s="6739" t="s">
        <v>87</v>
      </c>
      <c r="B8" s="6740">
        <v>0</v>
      </c>
      <c r="C8" s="6741">
        <v>481</v>
      </c>
      <c r="D8" s="6742">
        <v>0</v>
      </c>
      <c r="E8" s="6743"/>
      <c r="F8" s="6744"/>
      <c r="G8" s="6745"/>
      <c r="H8" s="6746"/>
      <c r="I8" s="6747"/>
      <c r="J8" s="6748"/>
      <c r="K8" s="6749"/>
      <c r="L8" s="6750"/>
      <c r="M8" s="6751"/>
      <c r="N8" s="6752"/>
      <c r="O8" s="6753"/>
      <c r="P8" s="6754"/>
      <c r="Q8" s="6755"/>
      <c r="R8" s="6756"/>
      <c r="S8" s="6757"/>
      <c r="T8" s="6758"/>
    </row>
    <row r="9">
      <c r="A9" s="6759" t="s">
        <v>88</v>
      </c>
      <c r="B9" s="6760">
        <v>0</v>
      </c>
      <c r="C9" s="6761">
        <v>484</v>
      </c>
      <c r="D9" s="6762">
        <v>0</v>
      </c>
      <c r="E9" s="6763"/>
      <c r="F9" s="6764"/>
      <c r="G9" s="6765"/>
      <c r="H9" s="6766"/>
      <c r="I9" s="6767"/>
      <c r="J9" s="6768"/>
      <c r="K9" s="6769"/>
      <c r="L9" s="6770"/>
      <c r="M9" s="6771"/>
      <c r="N9" s="6772"/>
      <c r="O9" s="6773"/>
      <c r="P9" s="6774"/>
      <c r="Q9" s="6775"/>
      <c r="R9" s="6776"/>
      <c r="S9" s="6777"/>
      <c r="T9" s="6778"/>
    </row>
    <row r="10">
      <c r="A10" s="6779" t="s">
        <v>89</v>
      </c>
      <c r="B10" s="6780">
        <v>87</v>
      </c>
      <c r="C10" s="6781">
        <v>563</v>
      </c>
      <c r="D10" s="6782">
        <v>15.452930728241562</v>
      </c>
      <c r="E10" s="6783"/>
      <c r="F10" s="6784"/>
      <c r="G10" s="6785"/>
      <c r="H10" s="6786"/>
      <c r="I10" s="6787"/>
      <c r="J10" s="6788"/>
      <c r="K10" s="6789"/>
      <c r="L10" s="6790"/>
      <c r="M10" s="6791"/>
      <c r="N10" s="6792"/>
      <c r="O10" s="6793"/>
      <c r="P10" s="6794"/>
      <c r="Q10" s="6795"/>
      <c r="R10" s="6796"/>
      <c r="S10" s="6797"/>
      <c r="T10" s="6798"/>
    </row>
    <row r="11">
      <c r="A11" s="6799" t="s">
        <v>90</v>
      </c>
      <c r="B11" s="6800">
        <v>18</v>
      </c>
      <c r="C11" s="6801">
        <v>544</v>
      </c>
      <c r="D11" s="6802">
        <v>3.308823529411765</v>
      </c>
      <c r="E11" s="6803"/>
      <c r="F11" s="6804"/>
      <c r="G11" s="6805"/>
      <c r="H11" s="6806"/>
      <c r="I11" s="6807"/>
      <c r="J11" s="6808"/>
      <c r="K11" s="6809"/>
      <c r="L11" s="6810"/>
      <c r="M11" s="6811"/>
      <c r="N11" s="6812"/>
      <c r="O11" s="6813"/>
      <c r="P11" s="6814"/>
      <c r="Q11" s="6815"/>
      <c r="R11" s="6816"/>
      <c r="S11" s="6817"/>
      <c r="T11" s="6818"/>
    </row>
    <row r="12">
      <c r="A12" s="6819" t="s">
        <v>91</v>
      </c>
      <c r="B12" s="6820">
        <v>12</v>
      </c>
      <c r="C12" s="6821">
        <v>550</v>
      </c>
      <c r="D12" s="6822">
        <v>2.1818181818181821</v>
      </c>
      <c r="E12" s="6823"/>
      <c r="F12" s="6824"/>
      <c r="G12" s="6825"/>
      <c r="H12" s="6826"/>
      <c r="I12" s="6827"/>
      <c r="J12" s="6828"/>
      <c r="K12" s="6829"/>
      <c r="L12" s="6830"/>
      <c r="M12" s="6831"/>
      <c r="N12" s="6832"/>
      <c r="O12" s="6833"/>
      <c r="P12" s="6834"/>
      <c r="Q12" s="6835"/>
      <c r="R12" s="6836"/>
      <c r="S12" s="6837"/>
      <c r="T12" s="6838"/>
    </row>
    <row r="13">
      <c r="A13" s="6839" t="s">
        <v>92</v>
      </c>
      <c r="B13" s="6840">
        <v>31</v>
      </c>
      <c r="C13" s="6841">
        <v>622</v>
      </c>
      <c r="D13" s="6842">
        <v>4.983922829581994</v>
      </c>
      <c r="E13" s="6843"/>
      <c r="F13" s="6844"/>
      <c r="G13" s="6845"/>
      <c r="H13" s="6846"/>
      <c r="I13" s="6847"/>
      <c r="J13" s="6848"/>
      <c r="K13" s="6849"/>
      <c r="L13" s="6850"/>
      <c r="M13" s="6851"/>
      <c r="N13" s="6852"/>
      <c r="O13" s="6853"/>
      <c r="P13" s="6854"/>
      <c r="Q13" s="6855"/>
      <c r="R13" s="6856"/>
      <c r="S13" s="6857"/>
      <c r="T13" s="6858"/>
    </row>
    <row r="14">
      <c r="A14" s="6859" t="s">
        <v>93</v>
      </c>
      <c r="B14" s="6860">
        <v>1</v>
      </c>
      <c r="C14" s="6861">
        <v>563</v>
      </c>
      <c r="D14" s="6862">
        <v>0.17761989342806395</v>
      </c>
      <c r="E14" s="6863"/>
      <c r="F14" s="6864"/>
      <c r="G14" s="6865"/>
      <c r="H14" s="6866"/>
      <c r="I14" s="6867"/>
      <c r="J14" s="6868"/>
      <c r="K14" s="6869"/>
      <c r="L14" s="6870"/>
      <c r="M14" s="6871"/>
      <c r="N14" s="6872"/>
      <c r="O14" s="6873"/>
      <c r="P14" s="6874"/>
      <c r="Q14" s="6875"/>
      <c r="R14" s="6876"/>
      <c r="S14" s="6877"/>
      <c r="T14" s="6878"/>
    </row>
    <row r="15">
      <c r="A15" s="6879" t="s">
        <v>94</v>
      </c>
      <c r="B15" s="6880">
        <v>0</v>
      </c>
      <c r="C15" s="6881">
        <v>529</v>
      </c>
      <c r="D15" s="6882">
        <v>0</v>
      </c>
      <c r="E15" s="6883"/>
      <c r="F15" s="6884"/>
      <c r="G15" s="6885"/>
      <c r="H15" s="6886"/>
      <c r="I15" s="6887"/>
      <c r="J15" s="6888"/>
      <c r="K15" s="6889"/>
      <c r="L15" s="6890"/>
      <c r="M15" s="6891"/>
      <c r="N15" s="6892"/>
      <c r="O15" s="6893"/>
      <c r="P15" s="6894"/>
      <c r="Q15" s="6895"/>
      <c r="R15" s="6896"/>
      <c r="S15" s="6897"/>
      <c r="T15" s="6898"/>
    </row>
    <row r="16">
      <c r="A16" s="6899" t="s">
        <v>95</v>
      </c>
      <c r="B16" s="6900">
        <v>27</v>
      </c>
      <c r="C16" s="6901">
        <v>569</v>
      </c>
      <c r="D16" s="6902">
        <v>4.7451669595782073</v>
      </c>
      <c r="E16" s="6903"/>
      <c r="F16" s="6904"/>
      <c r="G16" s="6905"/>
      <c r="H16" s="6906"/>
      <c r="I16" s="6907"/>
      <c r="J16" s="6908"/>
      <c r="K16" s="6909"/>
      <c r="L16" s="6910"/>
      <c r="M16" s="6911"/>
      <c r="N16" s="6912"/>
      <c r="O16" s="6913"/>
      <c r="P16" s="6914"/>
      <c r="Q16" s="6915"/>
      <c r="R16" s="6916"/>
      <c r="S16" s="6917"/>
      <c r="T16" s="6918"/>
    </row>
    <row r="17">
      <c r="A17" s="6919" t="s">
        <v>96</v>
      </c>
      <c r="B17" s="6920">
        <v>171</v>
      </c>
      <c r="C17" s="6921">
        <v>624</v>
      </c>
      <c r="D17" s="6922">
        <v>27.403846153846157</v>
      </c>
      <c r="E17" s="6923"/>
      <c r="F17" s="6924"/>
      <c r="G17" s="6925"/>
      <c r="H17" s="6926"/>
      <c r="I17" s="6927"/>
      <c r="J17" s="6928"/>
      <c r="K17" s="6929"/>
      <c r="L17" s="6930"/>
      <c r="M17" s="6931"/>
      <c r="N17" s="6932"/>
      <c r="O17" s="6933"/>
      <c r="P17" s="6934"/>
      <c r="Q17" s="6935"/>
      <c r="R17" s="6936"/>
      <c r="S17" s="6937"/>
      <c r="T17" s="6938"/>
    </row>
    <row r="18">
      <c r="A18" s="6939" t="s">
        <v>97</v>
      </c>
      <c r="B18" s="6940">
        <v>358</v>
      </c>
      <c r="C18" s="6941">
        <v>7284</v>
      </c>
      <c r="D18" s="6942">
        <v>4.9148819330038434</v>
      </c>
      <c r="E18" s="6943"/>
      <c r="F18" s="6944"/>
      <c r="G18" s="6945"/>
      <c r="H18" s="6946"/>
      <c r="I18" s="6947"/>
      <c r="J18" s="6948"/>
      <c r="K18" s="6949"/>
      <c r="L18" s="6950"/>
      <c r="M18" s="6951"/>
      <c r="N18" s="6952"/>
      <c r="O18" s="6953"/>
      <c r="P18" s="6954"/>
      <c r="Q18" s="6955"/>
      <c r="R18" s="6956"/>
      <c r="S18" s="6957"/>
      <c r="T18" s="6958"/>
    </row>
    <row r="19">
      <c r="A19" s="6959" t="s">
        <v>98</v>
      </c>
      <c r="B19" s="6960"/>
      <c r="C19" s="6961"/>
      <c r="D19" s="6962"/>
      <c r="E19" s="6963"/>
      <c r="F19" s="6964"/>
      <c r="G19" s="6965"/>
      <c r="H19" s="6966"/>
      <c r="I19" s="6967"/>
      <c r="J19" s="6968"/>
      <c r="K19" s="6969"/>
      <c r="L19" s="6970"/>
      <c r="M19" s="6971"/>
      <c r="N19" s="6972"/>
      <c r="O19" s="6973"/>
      <c r="P19" s="6974"/>
      <c r="Q19" s="6975"/>
      <c r="R19" s="6976"/>
      <c r="S19" s="6977"/>
      <c r="T19" s="6978"/>
    </row>
    <row r="20">
      <c r="A20" s="6979"/>
      <c r="B20" s="6980"/>
      <c r="C20" s="6981"/>
      <c r="D20" s="6982"/>
      <c r="E20" s="6983"/>
      <c r="F20" s="6984"/>
      <c r="G20" s="6985"/>
      <c r="H20" s="6986"/>
      <c r="I20" s="6987"/>
      <c r="J20" s="6988"/>
      <c r="K20" s="6989"/>
      <c r="L20" s="6990"/>
      <c r="M20" s="6991"/>
      <c r="N20" s="6992"/>
      <c r="O20" s="6993"/>
      <c r="P20" s="6994"/>
      <c r="Q20" s="6995"/>
      <c r="R20" s="6996"/>
      <c r="S20" s="6997"/>
      <c r="T20" s="6998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6" width="15.453125" style="6999" customWidth="true"/>
  </cols>
  <sheetData>
    <row r="1">
      <c r="A1" s="7000" t="s">
        <v>99</v>
      </c>
      <c r="B1" s="7001"/>
      <c r="C1" s="7002"/>
      <c r="D1" s="7003"/>
      <c r="E1" s="7004"/>
      <c r="F1" s="7005"/>
      <c r="G1" s="7006"/>
      <c r="H1" s="7007"/>
      <c r="I1" s="7008"/>
      <c r="J1" s="7009"/>
      <c r="K1" s="7010"/>
      <c r="L1" s="7011"/>
      <c r="M1" s="7012"/>
      <c r="N1" s="7013"/>
      <c r="O1" s="7014"/>
      <c r="P1" s="7015"/>
      <c r="Q1" s="7016"/>
      <c r="R1" s="7017"/>
      <c r="S1" s="7018"/>
      <c r="T1" s="7019"/>
    </row>
    <row r="2">
      <c r="A2" s="7020"/>
      <c r="B2" s="7021" t="s">
        <v>79</v>
      </c>
      <c r="C2" s="7022" t="s">
        <v>80</v>
      </c>
      <c r="D2" s="7023" t="s">
        <v>81</v>
      </c>
      <c r="E2" s="7024"/>
      <c r="F2" s="7025"/>
      <c r="G2" s="7026"/>
      <c r="H2" s="7027"/>
      <c r="I2" s="7028"/>
      <c r="J2" s="7029"/>
      <c r="K2" s="7030"/>
      <c r="L2" s="7031"/>
      <c r="M2" s="7032"/>
      <c r="N2" s="7033"/>
      <c r="O2" s="7034"/>
      <c r="P2" s="7035"/>
      <c r="Q2" s="7036"/>
      <c r="R2" s="7037"/>
      <c r="S2" s="7038"/>
      <c r="T2" s="7039"/>
    </row>
    <row r="3">
      <c r="A3" s="7040" t="s">
        <v>82</v>
      </c>
      <c r="B3" s="7041"/>
      <c r="C3" s="7042"/>
      <c r="D3" s="7043"/>
      <c r="E3" s="7044"/>
      <c r="F3" s="7045"/>
      <c r="G3" s="7046"/>
      <c r="H3" s="7047"/>
      <c r="I3" s="7048"/>
      <c r="J3" s="7049"/>
      <c r="K3" s="7050"/>
      <c r="L3" s="7051"/>
      <c r="M3" s="7052"/>
      <c r="N3" s="7053"/>
      <c r="O3" s="7054"/>
      <c r="P3" s="7055"/>
      <c r="Q3" s="7056"/>
      <c r="R3" s="7057"/>
      <c r="S3" s="7058"/>
      <c r="T3" s="7059"/>
    </row>
    <row r="4">
      <c r="A4" s="7060" t="s">
        <v>83</v>
      </c>
      <c r="B4" s="7061">
        <v>126</v>
      </c>
      <c r="C4" s="7062">
        <v>126</v>
      </c>
      <c r="D4" s="7063">
        <v>100</v>
      </c>
      <c r="E4" s="7064"/>
      <c r="F4" s="7065"/>
      <c r="G4" s="7066"/>
      <c r="H4" s="7067"/>
      <c r="I4" s="7068"/>
      <c r="J4" s="7069"/>
      <c r="K4" s="7070"/>
      <c r="L4" s="7071"/>
      <c r="M4" s="7072"/>
      <c r="N4" s="7073"/>
      <c r="O4" s="7074"/>
      <c r="P4" s="7075"/>
      <c r="Q4" s="7076"/>
      <c r="R4" s="7077"/>
      <c r="S4" s="7078"/>
      <c r="T4" s="7079"/>
    </row>
    <row r="5">
      <c r="A5" s="7080" t="s">
        <v>84</v>
      </c>
      <c r="B5" s="7081">
        <v>119</v>
      </c>
      <c r="C5" s="7082">
        <v>119</v>
      </c>
      <c r="D5" s="7083">
        <v>100</v>
      </c>
      <c r="E5" s="7084"/>
      <c r="F5" s="7085"/>
      <c r="G5" s="7086"/>
      <c r="H5" s="7087"/>
      <c r="I5" s="7088"/>
      <c r="J5" s="7089"/>
      <c r="K5" s="7090"/>
      <c r="L5" s="7091"/>
      <c r="M5" s="7092"/>
      <c r="N5" s="7093"/>
      <c r="O5" s="7094"/>
      <c r="P5" s="7095"/>
      <c r="Q5" s="7096"/>
      <c r="R5" s="7097"/>
      <c r="S5" s="7098"/>
      <c r="T5" s="7099"/>
    </row>
    <row r="6">
      <c r="A6" s="7100" t="s">
        <v>85</v>
      </c>
      <c r="B6" s="7101">
        <v>187</v>
      </c>
      <c r="C6" s="7102">
        <v>187</v>
      </c>
      <c r="D6" s="7103">
        <v>100</v>
      </c>
      <c r="E6" s="7104"/>
      <c r="F6" s="7105"/>
      <c r="G6" s="7106"/>
      <c r="H6" s="7107"/>
      <c r="I6" s="7108"/>
      <c r="J6" s="7109"/>
      <c r="K6" s="7110"/>
      <c r="L6" s="7111"/>
      <c r="M6" s="7112"/>
      <c r="N6" s="7113"/>
      <c r="O6" s="7114"/>
      <c r="P6" s="7115"/>
      <c r="Q6" s="7116"/>
      <c r="R6" s="7117"/>
      <c r="S6" s="7118"/>
      <c r="T6" s="7119"/>
    </row>
    <row r="7">
      <c r="A7" s="7120" t="s">
        <v>86</v>
      </c>
      <c r="B7" s="7121">
        <v>153</v>
      </c>
      <c r="C7" s="7122">
        <v>153</v>
      </c>
      <c r="D7" s="7123">
        <v>100</v>
      </c>
      <c r="E7" s="7124"/>
      <c r="F7" s="7125"/>
      <c r="G7" s="7126"/>
      <c r="H7" s="7127"/>
      <c r="I7" s="7128"/>
      <c r="J7" s="7129"/>
      <c r="K7" s="7130"/>
      <c r="L7" s="7131"/>
      <c r="M7" s="7132"/>
      <c r="N7" s="7133"/>
      <c r="O7" s="7134"/>
      <c r="P7" s="7135"/>
      <c r="Q7" s="7136"/>
      <c r="R7" s="7137"/>
      <c r="S7" s="7138"/>
      <c r="T7" s="7139"/>
    </row>
    <row r="8">
      <c r="A8" s="7140" t="s">
        <v>87</v>
      </c>
      <c r="B8" s="7141">
        <v>2</v>
      </c>
      <c r="C8" s="7142">
        <v>234</v>
      </c>
      <c r="D8" s="7143">
        <v>0.85470085470085477</v>
      </c>
      <c r="E8" s="7144"/>
      <c r="F8" s="7145"/>
      <c r="G8" s="7146"/>
      <c r="H8" s="7147"/>
      <c r="I8" s="7148"/>
      <c r="J8" s="7149"/>
      <c r="K8" s="7150"/>
      <c r="L8" s="7151"/>
      <c r="M8" s="7152"/>
      <c r="N8" s="7153"/>
      <c r="O8" s="7154"/>
      <c r="P8" s="7155"/>
      <c r="Q8" s="7156"/>
      <c r="R8" s="7157"/>
      <c r="S8" s="7158"/>
      <c r="T8" s="7159"/>
    </row>
    <row r="9">
      <c r="A9" s="7160" t="s">
        <v>88</v>
      </c>
      <c r="B9" s="7161">
        <v>1</v>
      </c>
      <c r="C9" s="7162">
        <v>211</v>
      </c>
      <c r="D9" s="7163">
        <v>0.47393364928909953</v>
      </c>
      <c r="E9" s="7164"/>
      <c r="F9" s="7165"/>
      <c r="G9" s="7166"/>
      <c r="H9" s="7167"/>
      <c r="I9" s="7168"/>
      <c r="J9" s="7169"/>
      <c r="K9" s="7170"/>
      <c r="L9" s="7171"/>
      <c r="M9" s="7172"/>
      <c r="N9" s="7173"/>
      <c r="O9" s="7174"/>
      <c r="P9" s="7175"/>
      <c r="Q9" s="7176"/>
      <c r="R9" s="7177"/>
      <c r="S9" s="7178"/>
      <c r="T9" s="7179"/>
    </row>
    <row r="10">
      <c r="A10" s="7180" t="s">
        <v>89</v>
      </c>
      <c r="B10" s="7181">
        <v>32</v>
      </c>
      <c r="C10" s="7182">
        <v>217</v>
      </c>
      <c r="D10" s="7183">
        <v>14.746543778801843</v>
      </c>
      <c r="E10" s="7184"/>
      <c r="F10" s="7185"/>
      <c r="G10" s="7186"/>
      <c r="H10" s="7187"/>
      <c r="I10" s="7188"/>
      <c r="J10" s="7189"/>
      <c r="K10" s="7190"/>
      <c r="L10" s="7191"/>
      <c r="M10" s="7192"/>
      <c r="N10" s="7193"/>
      <c r="O10" s="7194"/>
      <c r="P10" s="7195"/>
      <c r="Q10" s="7196"/>
      <c r="R10" s="7197"/>
      <c r="S10" s="7198"/>
      <c r="T10" s="7199"/>
    </row>
    <row r="11">
      <c r="A11" s="7200" t="s">
        <v>90</v>
      </c>
      <c r="B11" s="7201">
        <v>6</v>
      </c>
      <c r="C11" s="7202">
        <v>278</v>
      </c>
      <c r="D11" s="7203">
        <v>2.1582733812949639</v>
      </c>
      <c r="E11" s="7204"/>
      <c r="F11" s="7205"/>
      <c r="G11" s="7206"/>
      <c r="H11" s="7207"/>
      <c r="I11" s="7208"/>
      <c r="J11" s="7209"/>
      <c r="K11" s="7210"/>
      <c r="L11" s="7211"/>
      <c r="M11" s="7212"/>
      <c r="N11" s="7213"/>
      <c r="O11" s="7214"/>
      <c r="P11" s="7215"/>
      <c r="Q11" s="7216"/>
      <c r="R11" s="7217"/>
      <c r="S11" s="7218"/>
      <c r="T11" s="7219"/>
    </row>
    <row r="12">
      <c r="A12" s="7220" t="s">
        <v>91</v>
      </c>
      <c r="B12" s="7221">
        <v>2</v>
      </c>
      <c r="C12" s="7222">
        <v>257</v>
      </c>
      <c r="D12" s="7223">
        <v>0.77821011673151752</v>
      </c>
      <c r="E12" s="7224"/>
      <c r="F12" s="7225"/>
      <c r="G12" s="7226"/>
      <c r="H12" s="7227"/>
      <c r="I12" s="7228"/>
      <c r="J12" s="7229"/>
      <c r="K12" s="7230"/>
      <c r="L12" s="7231"/>
      <c r="M12" s="7232"/>
      <c r="N12" s="7233"/>
      <c r="O12" s="7234"/>
      <c r="P12" s="7235"/>
      <c r="Q12" s="7236"/>
      <c r="R12" s="7237"/>
      <c r="S12" s="7238"/>
      <c r="T12" s="7239"/>
    </row>
    <row r="13">
      <c r="A13" s="7240" t="s">
        <v>92</v>
      </c>
      <c r="B13" s="7241">
        <v>11</v>
      </c>
      <c r="C13" s="7242">
        <v>311</v>
      </c>
      <c r="D13" s="7243">
        <v>3.536977491961415</v>
      </c>
      <c r="E13" s="7244"/>
      <c r="F13" s="7245"/>
      <c r="G13" s="7246"/>
      <c r="H13" s="7247"/>
      <c r="I13" s="7248"/>
      <c r="J13" s="7249"/>
      <c r="K13" s="7250"/>
      <c r="L13" s="7251"/>
      <c r="M13" s="7252"/>
      <c r="N13" s="7253"/>
      <c r="O13" s="7254"/>
      <c r="P13" s="7255"/>
      <c r="Q13" s="7256"/>
      <c r="R13" s="7257"/>
      <c r="S13" s="7258"/>
      <c r="T13" s="7259"/>
    </row>
    <row r="14">
      <c r="A14" s="7260" t="s">
        <v>93</v>
      </c>
      <c r="B14" s="7261">
        <v>0</v>
      </c>
      <c r="C14" s="7262">
        <v>291</v>
      </c>
      <c r="D14" s="7263">
        <v>0</v>
      </c>
      <c r="E14" s="7264"/>
      <c r="F14" s="7265"/>
      <c r="G14" s="7266"/>
      <c r="H14" s="7267"/>
      <c r="I14" s="7268"/>
      <c r="J14" s="7269"/>
      <c r="K14" s="7270"/>
      <c r="L14" s="7271"/>
      <c r="M14" s="7272"/>
      <c r="N14" s="7273"/>
      <c r="O14" s="7274"/>
      <c r="P14" s="7275"/>
      <c r="Q14" s="7276"/>
      <c r="R14" s="7277"/>
      <c r="S14" s="7278"/>
      <c r="T14" s="7279"/>
    </row>
    <row r="15">
      <c r="A15" s="7280" t="s">
        <v>94</v>
      </c>
      <c r="B15" s="7281">
        <v>0</v>
      </c>
      <c r="C15" s="7282">
        <v>201</v>
      </c>
      <c r="D15" s="7283">
        <v>0</v>
      </c>
      <c r="E15" s="7284"/>
      <c r="F15" s="7285"/>
      <c r="G15" s="7286"/>
      <c r="H15" s="7287"/>
      <c r="I15" s="7288"/>
      <c r="J15" s="7289"/>
      <c r="K15" s="7290"/>
      <c r="L15" s="7291"/>
      <c r="M15" s="7292"/>
      <c r="N15" s="7293"/>
      <c r="O15" s="7294"/>
      <c r="P15" s="7295"/>
      <c r="Q15" s="7296"/>
      <c r="R15" s="7297"/>
      <c r="S15" s="7298"/>
      <c r="T15" s="7299"/>
    </row>
    <row r="16">
      <c r="A16" s="7300" t="s">
        <v>95</v>
      </c>
      <c r="B16" s="7301">
        <v>10</v>
      </c>
      <c r="C16" s="7302">
        <v>240</v>
      </c>
      <c r="D16" s="7303">
        <v>4.1666666666666661</v>
      </c>
      <c r="E16" s="7304"/>
      <c r="F16" s="7305"/>
      <c r="G16" s="7306"/>
      <c r="H16" s="7307"/>
      <c r="I16" s="7308"/>
      <c r="J16" s="7309"/>
      <c r="K16" s="7310"/>
      <c r="L16" s="7311"/>
      <c r="M16" s="7312"/>
      <c r="N16" s="7313"/>
      <c r="O16" s="7314"/>
      <c r="P16" s="7315"/>
      <c r="Q16" s="7316"/>
      <c r="R16" s="7317"/>
      <c r="S16" s="7318"/>
      <c r="T16" s="7319"/>
    </row>
    <row r="17">
      <c r="A17" s="7320" t="s">
        <v>96</v>
      </c>
      <c r="B17" s="7321">
        <v>53</v>
      </c>
      <c r="C17" s="7322">
        <v>246</v>
      </c>
      <c r="D17" s="7323">
        <v>21.544715447154474</v>
      </c>
      <c r="E17" s="7324"/>
      <c r="F17" s="7325"/>
      <c r="G17" s="7326"/>
      <c r="H17" s="7327"/>
      <c r="I17" s="7328"/>
      <c r="J17" s="7329"/>
      <c r="K17" s="7330"/>
      <c r="L17" s="7331"/>
      <c r="M17" s="7332"/>
      <c r="N17" s="7333"/>
      <c r="O17" s="7334"/>
      <c r="P17" s="7335"/>
      <c r="Q17" s="7336"/>
      <c r="R17" s="7337"/>
      <c r="S17" s="7338"/>
      <c r="T17" s="7339"/>
    </row>
    <row r="18">
      <c r="A18" s="7340" t="s">
        <v>97</v>
      </c>
      <c r="B18" s="7341">
        <v>702</v>
      </c>
      <c r="C18" s="7342">
        <v>3071</v>
      </c>
      <c r="D18" s="7343">
        <v>22.859003581895149</v>
      </c>
      <c r="E18" s="7344"/>
      <c r="F18" s="7345"/>
      <c r="G18" s="7346"/>
      <c r="H18" s="7347"/>
      <c r="I18" s="7348"/>
      <c r="J18" s="7349"/>
      <c r="K18" s="7350"/>
      <c r="L18" s="7351"/>
      <c r="M18" s="7352"/>
      <c r="N18" s="7353"/>
      <c r="O18" s="7354"/>
      <c r="P18" s="7355"/>
      <c r="Q18" s="7356"/>
      <c r="R18" s="7357"/>
      <c r="S18" s="7358"/>
      <c r="T18" s="7359"/>
    </row>
    <row r="19">
      <c r="A19" s="7360" t="s">
        <v>98</v>
      </c>
      <c r="B19" s="7361"/>
      <c r="C19" s="7362"/>
      <c r="D19" s="7363"/>
      <c r="E19" s="7364"/>
      <c r="F19" s="7365"/>
      <c r="G19" s="7366"/>
      <c r="H19" s="7367"/>
      <c r="I19" s="7368"/>
      <c r="J19" s="7369"/>
      <c r="K19" s="7370"/>
      <c r="L19" s="7371"/>
      <c r="M19" s="7372"/>
      <c r="N19" s="7373"/>
      <c r="O19" s="7374"/>
      <c r="P19" s="7375"/>
      <c r="Q19" s="7376"/>
      <c r="R19" s="7377"/>
      <c r="S19" s="7378"/>
      <c r="T19" s="7379"/>
    </row>
    <row r="20">
      <c r="A20" s="7380"/>
      <c r="B20" s="7381"/>
      <c r="C20" s="7382"/>
      <c r="D20" s="7383"/>
      <c r="E20" s="7384"/>
      <c r="F20" s="7385"/>
      <c r="G20" s="7386"/>
      <c r="H20" s="7387"/>
      <c r="I20" s="7388"/>
      <c r="J20" s="7389"/>
      <c r="K20" s="7390"/>
      <c r="L20" s="7391"/>
      <c r="M20" s="7392"/>
      <c r="N20" s="7393"/>
      <c r="O20" s="7394"/>
      <c r="P20" s="7395"/>
      <c r="Q20" s="7396"/>
      <c r="R20" s="7397"/>
      <c r="S20" s="7398"/>
      <c r="T20" s="7399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6" width="15.453125" style="7400" customWidth="true"/>
  </cols>
  <sheetData>
    <row r="1">
      <c r="A1" s="7401" t="s">
        <v>100</v>
      </c>
      <c r="B1" s="7402"/>
      <c r="C1" s="7403"/>
      <c r="D1" s="7404"/>
      <c r="E1" s="7405"/>
      <c r="F1" s="7406"/>
      <c r="G1" s="7407"/>
      <c r="H1" s="7408"/>
      <c r="I1" s="7409"/>
      <c r="J1" s="7410"/>
      <c r="K1" s="7411"/>
      <c r="L1" s="7412"/>
      <c r="M1" s="7413"/>
      <c r="N1" s="7414"/>
      <c r="O1" s="7415"/>
      <c r="P1" s="7416"/>
      <c r="Q1" s="7417"/>
      <c r="R1" s="7418"/>
      <c r="S1" s="7419"/>
      <c r="T1" s="7420"/>
    </row>
    <row r="2">
      <c r="A2" s="7421"/>
      <c r="B2" s="7422" t="s">
        <v>79</v>
      </c>
      <c r="C2" s="7423" t="s">
        <v>80</v>
      </c>
      <c r="D2" s="7424"/>
      <c r="E2" s="7425"/>
      <c r="F2" s="7426"/>
      <c r="G2" s="7427"/>
      <c r="H2" s="7428"/>
      <c r="I2" s="7429"/>
      <c r="J2" s="7430"/>
      <c r="K2" s="7431"/>
      <c r="L2" s="7432"/>
      <c r="M2" s="7433"/>
      <c r="N2" s="7434"/>
      <c r="O2" s="7435"/>
      <c r="P2" s="7436"/>
      <c r="Q2" s="7437"/>
      <c r="R2" s="7438"/>
      <c r="S2" s="7439"/>
      <c r="T2" s="7440"/>
    </row>
    <row r="3">
      <c r="A3" s="7441" t="s">
        <v>82</v>
      </c>
      <c r="B3" s="7442"/>
      <c r="C3" s="7443"/>
      <c r="D3" s="7444"/>
      <c r="E3" s="7445"/>
      <c r="F3" s="7446"/>
      <c r="G3" s="7447"/>
      <c r="H3" s="7448"/>
      <c r="I3" s="7449"/>
      <c r="J3" s="7450"/>
      <c r="K3" s="7451"/>
      <c r="L3" s="7452"/>
      <c r="M3" s="7453"/>
      <c r="N3" s="7454"/>
      <c r="O3" s="7455"/>
      <c r="P3" s="7456"/>
      <c r="Q3" s="7457"/>
      <c r="R3" s="7458"/>
      <c r="S3" s="7459"/>
      <c r="T3" s="7460"/>
    </row>
    <row r="4">
      <c r="A4" s="7461" t="s">
        <v>83</v>
      </c>
      <c r="B4" s="7462">
        <v>0</v>
      </c>
      <c r="C4" s="7463">
        <v>555</v>
      </c>
      <c r="D4" s="7464"/>
      <c r="E4" s="7465"/>
      <c r="F4" s="7466"/>
      <c r="G4" s="7467"/>
      <c r="H4" s="7468"/>
      <c r="I4" s="7469"/>
      <c r="J4" s="7470"/>
      <c r="K4" s="7471"/>
      <c r="L4" s="7472"/>
      <c r="M4" s="7473"/>
      <c r="N4" s="7474"/>
      <c r="O4" s="7475"/>
      <c r="P4" s="7476"/>
      <c r="Q4" s="7477"/>
      <c r="R4" s="7478"/>
      <c r="S4" s="7479"/>
      <c r="T4" s="7480"/>
    </row>
    <row r="5">
      <c r="A5" s="7481" t="s">
        <v>84</v>
      </c>
      <c r="B5" s="7482">
        <v>0</v>
      </c>
      <c r="C5" s="7483">
        <v>504</v>
      </c>
      <c r="D5" s="7484"/>
      <c r="E5" s="7485"/>
      <c r="F5" s="7486"/>
      <c r="G5" s="7487"/>
      <c r="H5" s="7488"/>
      <c r="I5" s="7489"/>
      <c r="J5" s="7490"/>
      <c r="K5" s="7491"/>
      <c r="L5" s="7492"/>
      <c r="M5" s="7493"/>
      <c r="N5" s="7494"/>
      <c r="O5" s="7495"/>
      <c r="P5" s="7496"/>
      <c r="Q5" s="7497"/>
      <c r="R5" s="7498"/>
      <c r="S5" s="7499"/>
      <c r="T5" s="7500"/>
    </row>
    <row r="6">
      <c r="A6" s="7501" t="s">
        <v>85</v>
      </c>
      <c r="B6" s="7502">
        <v>0</v>
      </c>
      <c r="C6" s="7503">
        <v>584</v>
      </c>
      <c r="D6" s="7504"/>
      <c r="E6" s="7505"/>
      <c r="F6" s="7506"/>
      <c r="G6" s="7507"/>
      <c r="H6" s="7508"/>
      <c r="I6" s="7509"/>
      <c r="J6" s="7510"/>
      <c r="K6" s="7511"/>
      <c r="L6" s="7512"/>
      <c r="M6" s="7513"/>
      <c r="N6" s="7514"/>
      <c r="O6" s="7515"/>
      <c r="P6" s="7516"/>
      <c r="Q6" s="7517"/>
      <c r="R6" s="7518"/>
      <c r="S6" s="7519"/>
      <c r="T6" s="7520"/>
    </row>
    <row r="7">
      <c r="A7" s="7521" t="s">
        <v>86</v>
      </c>
      <c r="B7" s="7522">
        <v>0</v>
      </c>
      <c r="C7" s="7523">
        <v>697</v>
      </c>
      <c r="D7" s="7524"/>
      <c r="E7" s="7525"/>
      <c r="F7" s="7526"/>
      <c r="G7" s="7527"/>
      <c r="H7" s="7528"/>
      <c r="I7" s="7529"/>
      <c r="J7" s="7530"/>
      <c r="K7" s="7531"/>
      <c r="L7" s="7532"/>
      <c r="M7" s="7533"/>
      <c r="N7" s="7534"/>
      <c r="O7" s="7535"/>
      <c r="P7" s="7536"/>
      <c r="Q7" s="7537"/>
      <c r="R7" s="7538"/>
      <c r="S7" s="7539"/>
      <c r="T7" s="7540"/>
    </row>
    <row r="8">
      <c r="A8" s="7541" t="s">
        <v>87</v>
      </c>
      <c r="B8" s="7542">
        <v>0</v>
      </c>
      <c r="C8" s="7543">
        <v>715</v>
      </c>
      <c r="D8" s="7544"/>
      <c r="E8" s="7545"/>
      <c r="F8" s="7546"/>
      <c r="G8" s="7547"/>
      <c r="H8" s="7548"/>
      <c r="I8" s="7549"/>
      <c r="J8" s="7550"/>
      <c r="K8" s="7551"/>
      <c r="L8" s="7552"/>
      <c r="M8" s="7553"/>
      <c r="N8" s="7554"/>
      <c r="O8" s="7555"/>
      <c r="P8" s="7556"/>
      <c r="Q8" s="7557"/>
      <c r="R8" s="7558"/>
      <c r="S8" s="7559"/>
      <c r="T8" s="7560"/>
    </row>
    <row r="9">
      <c r="A9" s="7561" t="s">
        <v>88</v>
      </c>
      <c r="B9" s="7562">
        <v>0</v>
      </c>
      <c r="C9" s="7563">
        <v>695</v>
      </c>
      <c r="D9" s="7564"/>
      <c r="E9" s="7565"/>
      <c r="F9" s="7566"/>
      <c r="G9" s="7567"/>
      <c r="H9" s="7568"/>
      <c r="I9" s="7569"/>
      <c r="J9" s="7570"/>
      <c r="K9" s="7571"/>
      <c r="L9" s="7572"/>
      <c r="M9" s="7573"/>
      <c r="N9" s="7574"/>
      <c r="O9" s="7575"/>
      <c r="P9" s="7576"/>
      <c r="Q9" s="7577"/>
      <c r="R9" s="7578"/>
      <c r="S9" s="7579"/>
      <c r="T9" s="7580"/>
    </row>
    <row r="10">
      <c r="A10" s="7581" t="s">
        <v>89</v>
      </c>
      <c r="B10" s="7582">
        <v>0</v>
      </c>
      <c r="C10" s="7583">
        <v>780</v>
      </c>
      <c r="D10" s="7584"/>
      <c r="E10" s="7585"/>
      <c r="F10" s="7586"/>
      <c r="G10" s="7587"/>
      <c r="H10" s="7588"/>
      <c r="I10" s="7589"/>
      <c r="J10" s="7590"/>
      <c r="K10" s="7591"/>
      <c r="L10" s="7592"/>
      <c r="M10" s="7593"/>
      <c r="N10" s="7594"/>
      <c r="O10" s="7595"/>
      <c r="P10" s="7596"/>
      <c r="Q10" s="7597"/>
      <c r="R10" s="7598"/>
      <c r="S10" s="7599"/>
      <c r="T10" s="7600"/>
    </row>
    <row r="11">
      <c r="A11" s="7601" t="s">
        <v>90</v>
      </c>
      <c r="B11" s="7602">
        <v>0</v>
      </c>
      <c r="C11" s="7603">
        <v>822</v>
      </c>
      <c r="D11" s="7604"/>
      <c r="E11" s="7605"/>
      <c r="F11" s="7606"/>
      <c r="G11" s="7607"/>
      <c r="H11" s="7608"/>
      <c r="I11" s="7609"/>
      <c r="J11" s="7610"/>
      <c r="K11" s="7611"/>
      <c r="L11" s="7612"/>
      <c r="M11" s="7613"/>
      <c r="N11" s="7614"/>
      <c r="O11" s="7615"/>
      <c r="P11" s="7616"/>
      <c r="Q11" s="7617"/>
      <c r="R11" s="7618"/>
      <c r="S11" s="7619"/>
      <c r="T11" s="7620"/>
    </row>
    <row r="12">
      <c r="A12" s="7621" t="s">
        <v>91</v>
      </c>
      <c r="B12" s="7622">
        <v>0</v>
      </c>
      <c r="C12" s="7623">
        <v>807</v>
      </c>
      <c r="D12" s="7624"/>
      <c r="E12" s="7625"/>
      <c r="F12" s="7626"/>
      <c r="G12" s="7627"/>
      <c r="H12" s="7628"/>
      <c r="I12" s="7629"/>
      <c r="J12" s="7630"/>
      <c r="K12" s="7631"/>
      <c r="L12" s="7632"/>
      <c r="M12" s="7633"/>
      <c r="N12" s="7634"/>
      <c r="O12" s="7635"/>
      <c r="P12" s="7636"/>
      <c r="Q12" s="7637"/>
      <c r="R12" s="7638"/>
      <c r="S12" s="7639"/>
      <c r="T12" s="7640"/>
    </row>
    <row r="13">
      <c r="A13" s="7641" t="s">
        <v>92</v>
      </c>
      <c r="B13" s="7642">
        <v>0</v>
      </c>
      <c r="C13" s="7643">
        <v>933</v>
      </c>
      <c r="D13" s="7644"/>
      <c r="E13" s="7645"/>
      <c r="F13" s="7646"/>
      <c r="G13" s="7647"/>
      <c r="H13" s="7648"/>
      <c r="I13" s="7649"/>
      <c r="J13" s="7650"/>
      <c r="K13" s="7651"/>
      <c r="L13" s="7652"/>
      <c r="M13" s="7653"/>
      <c r="N13" s="7654"/>
      <c r="O13" s="7655"/>
      <c r="P13" s="7656"/>
      <c r="Q13" s="7657"/>
      <c r="R13" s="7658"/>
      <c r="S13" s="7659"/>
      <c r="T13" s="7660"/>
    </row>
    <row r="14">
      <c r="A14" s="7661" t="s">
        <v>93</v>
      </c>
      <c r="B14" s="7662">
        <v>0</v>
      </c>
      <c r="C14" s="7663">
        <v>854</v>
      </c>
      <c r="D14" s="7664"/>
      <c r="E14" s="7665"/>
      <c r="F14" s="7666"/>
      <c r="G14" s="7667"/>
      <c r="H14" s="7668"/>
      <c r="I14" s="7669"/>
      <c r="J14" s="7670"/>
      <c r="K14" s="7671"/>
      <c r="L14" s="7672"/>
      <c r="M14" s="7673"/>
      <c r="N14" s="7674"/>
      <c r="O14" s="7675"/>
      <c r="P14" s="7676"/>
      <c r="Q14" s="7677"/>
      <c r="R14" s="7678"/>
      <c r="S14" s="7679"/>
      <c r="T14" s="7680"/>
    </row>
    <row r="15">
      <c r="A15" s="7681" t="s">
        <v>94</v>
      </c>
      <c r="B15" s="7682">
        <v>0</v>
      </c>
      <c r="C15" s="7683">
        <v>730</v>
      </c>
      <c r="D15" s="7684"/>
      <c r="E15" s="7685"/>
      <c r="F15" s="7686"/>
      <c r="G15" s="7687"/>
      <c r="H15" s="7688"/>
      <c r="I15" s="7689"/>
      <c r="J15" s="7690"/>
      <c r="K15" s="7691"/>
      <c r="L15" s="7692"/>
      <c r="M15" s="7693"/>
      <c r="N15" s="7694"/>
      <c r="O15" s="7695"/>
      <c r="P15" s="7696"/>
      <c r="Q15" s="7697"/>
      <c r="R15" s="7698"/>
      <c r="S15" s="7699"/>
      <c r="T15" s="7700"/>
    </row>
    <row r="16">
      <c r="A16" s="7701" t="s">
        <v>95</v>
      </c>
      <c r="B16" s="7702">
        <v>0</v>
      </c>
      <c r="C16" s="7703">
        <v>809</v>
      </c>
      <c r="D16" s="7704"/>
      <c r="E16" s="7705"/>
      <c r="F16" s="7706"/>
      <c r="G16" s="7707"/>
      <c r="H16" s="7708"/>
      <c r="I16" s="7709"/>
      <c r="J16" s="7710"/>
      <c r="K16" s="7711"/>
      <c r="L16" s="7712"/>
      <c r="M16" s="7713"/>
      <c r="N16" s="7714"/>
      <c r="O16" s="7715"/>
      <c r="P16" s="7716"/>
      <c r="Q16" s="7717"/>
      <c r="R16" s="7718"/>
      <c r="S16" s="7719"/>
      <c r="T16" s="7720"/>
    </row>
    <row r="17">
      <c r="A17" s="7721" t="s">
        <v>96</v>
      </c>
      <c r="B17" s="7722">
        <v>0</v>
      </c>
      <c r="C17" s="7723">
        <v>870</v>
      </c>
      <c r="D17" s="7724"/>
      <c r="E17" s="7725"/>
      <c r="F17" s="7726"/>
      <c r="G17" s="7727"/>
      <c r="H17" s="7728"/>
      <c r="I17" s="7729"/>
      <c r="J17" s="7730"/>
      <c r="K17" s="7731"/>
      <c r="L17" s="7732"/>
      <c r="M17" s="7733"/>
      <c r="N17" s="7734"/>
      <c r="O17" s="7735"/>
      <c r="P17" s="7736"/>
      <c r="Q17" s="7737"/>
      <c r="R17" s="7738"/>
      <c r="S17" s="7739"/>
      <c r="T17" s="7740"/>
    </row>
    <row r="18">
      <c r="A18" s="7741" t="s">
        <v>97</v>
      </c>
      <c r="B18" s="7742">
        <v>0</v>
      </c>
      <c r="C18" s="7743">
        <v>10355</v>
      </c>
      <c r="D18" s="7744"/>
      <c r="E18" s="7745"/>
      <c r="F18" s="7746"/>
      <c r="G18" s="7747"/>
      <c r="H18" s="7748"/>
      <c r="I18" s="7749"/>
      <c r="J18" s="7750"/>
      <c r="K18" s="7751"/>
      <c r="L18" s="7752"/>
      <c r="M18" s="7753"/>
      <c r="N18" s="7754"/>
      <c r="O18" s="7755"/>
      <c r="P18" s="7756"/>
      <c r="Q18" s="7757"/>
      <c r="R18" s="7758"/>
      <c r="S18" s="7759"/>
      <c r="T18" s="7760"/>
    </row>
    <row r="19">
      <c r="A19" s="7761" t="s">
        <v>98</v>
      </c>
      <c r="B19" s="7762"/>
      <c r="C19" s="7763"/>
      <c r="D19" s="7764"/>
      <c r="E19" s="7765"/>
      <c r="F19" s="7766"/>
      <c r="G19" s="7767"/>
      <c r="H19" s="7768"/>
      <c r="I19" s="7769"/>
      <c r="J19" s="7770"/>
      <c r="K19" s="7771"/>
      <c r="L19" s="7772"/>
      <c r="M19" s="7773"/>
      <c r="N19" s="7774"/>
      <c r="O19" s="7775"/>
      <c r="P19" s="7776"/>
      <c r="Q19" s="7777"/>
      <c r="R19" s="7778"/>
      <c r="S19" s="7779"/>
      <c r="T19" s="7780"/>
    </row>
    <row r="20">
      <c r="A20" s="7781"/>
      <c r="B20" s="7782"/>
      <c r="C20" s="7783"/>
      <c r="D20" s="7784"/>
      <c r="E20" s="7785"/>
      <c r="F20" s="7786"/>
      <c r="G20" s="7787"/>
      <c r="H20" s="7788"/>
      <c r="I20" s="7789"/>
      <c r="J20" s="7790"/>
      <c r="K20" s="7791"/>
      <c r="L20" s="7792"/>
      <c r="M20" s="7793"/>
      <c r="N20" s="7794"/>
      <c r="O20" s="7795"/>
      <c r="P20" s="7796"/>
      <c r="Q20" s="7797"/>
      <c r="R20" s="7798"/>
      <c r="S20" s="7799"/>
      <c r="T20" s="7800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6" width="15.453125" style="7801" customWidth="true"/>
  </cols>
  <sheetData>
    <row r="1">
      <c r="A1" s="7802" t="s">
        <v>101</v>
      </c>
      <c r="B1" s="7803"/>
      <c r="C1" s="7804"/>
      <c r="D1" s="7805"/>
      <c r="E1" s="7806"/>
      <c r="F1" s="7807"/>
      <c r="G1" s="7808"/>
      <c r="H1" s="7809"/>
      <c r="I1" s="7810"/>
      <c r="J1" s="7811"/>
      <c r="K1" s="7812"/>
      <c r="L1" s="7813"/>
      <c r="M1" s="7814"/>
      <c r="N1" s="7815"/>
      <c r="O1" s="7816"/>
      <c r="P1" s="7817"/>
      <c r="Q1" s="7818"/>
      <c r="R1" s="7819"/>
      <c r="S1" s="7820"/>
      <c r="T1" s="7821"/>
    </row>
    <row r="2">
      <c r="A2" s="7822"/>
      <c r="B2" s="7823" t="s">
        <v>79</v>
      </c>
      <c r="C2" s="7824" t="s">
        <v>80</v>
      </c>
      <c r="D2" s="7825" t="s">
        <v>81</v>
      </c>
      <c r="E2" s="7826"/>
      <c r="F2" s="7827"/>
      <c r="G2" s="7828"/>
      <c r="H2" s="7829"/>
      <c r="I2" s="7830"/>
      <c r="J2" s="7831"/>
      <c r="K2" s="7832"/>
      <c r="L2" s="7833"/>
      <c r="M2" s="7834"/>
      <c r="N2" s="7835"/>
      <c r="O2" s="7836"/>
      <c r="P2" s="7837"/>
      <c r="Q2" s="7838"/>
      <c r="R2" s="7839"/>
      <c r="S2" s="7840"/>
      <c r="T2" s="7841"/>
    </row>
    <row r="3">
      <c r="A3" s="7842" t="s">
        <v>82</v>
      </c>
      <c r="B3" s="7843"/>
      <c r="C3" s="7844"/>
      <c r="D3" s="7845"/>
      <c r="E3" s="7846"/>
      <c r="F3" s="7847"/>
      <c r="G3" s="7848"/>
      <c r="H3" s="7849"/>
      <c r="I3" s="7850"/>
      <c r="J3" s="7851"/>
      <c r="K3" s="7852"/>
      <c r="L3" s="7853"/>
      <c r="M3" s="7854"/>
      <c r="N3" s="7855"/>
      <c r="O3" s="7856"/>
      <c r="P3" s="7857"/>
      <c r="Q3" s="7858"/>
      <c r="R3" s="7859"/>
      <c r="S3" s="7860"/>
      <c r="T3" s="7861"/>
    </row>
    <row r="4">
      <c r="A4" s="7862" t="s">
        <v>83</v>
      </c>
      <c r="B4" s="7863">
        <v>15</v>
      </c>
      <c r="C4" s="7864">
        <v>555</v>
      </c>
      <c r="D4" s="7865">
        <v>2.7027027027027026</v>
      </c>
      <c r="E4" s="7866"/>
      <c r="F4" s="7867"/>
      <c r="G4" s="7868"/>
      <c r="H4" s="7869"/>
      <c r="I4" s="7870"/>
      <c r="J4" s="7871"/>
      <c r="K4" s="7872"/>
      <c r="L4" s="7873"/>
      <c r="M4" s="7874"/>
      <c r="N4" s="7875"/>
      <c r="O4" s="7876"/>
      <c r="P4" s="7877"/>
      <c r="Q4" s="7878"/>
      <c r="R4" s="7879"/>
      <c r="S4" s="7880"/>
      <c r="T4" s="7881"/>
    </row>
    <row r="5">
      <c r="A5" s="7882" t="s">
        <v>84</v>
      </c>
      <c r="B5" s="7883">
        <v>2</v>
      </c>
      <c r="C5" s="7884">
        <v>504</v>
      </c>
      <c r="D5" s="7885">
        <v>0.3968253968253968</v>
      </c>
      <c r="E5" s="7886"/>
      <c r="F5" s="7887"/>
      <c r="G5" s="7888"/>
      <c r="H5" s="7889"/>
      <c r="I5" s="7890"/>
      <c r="J5" s="7891"/>
      <c r="K5" s="7892"/>
      <c r="L5" s="7893"/>
      <c r="M5" s="7894"/>
      <c r="N5" s="7895"/>
      <c r="O5" s="7896"/>
      <c r="P5" s="7897"/>
      <c r="Q5" s="7898"/>
      <c r="R5" s="7899"/>
      <c r="S5" s="7900"/>
      <c r="T5" s="7901"/>
    </row>
    <row r="6">
      <c r="A6" s="7902" t="s">
        <v>85</v>
      </c>
      <c r="B6" s="7903">
        <v>5</v>
      </c>
      <c r="C6" s="7904">
        <v>584</v>
      </c>
      <c r="D6" s="7905">
        <v>0.85616438356164382</v>
      </c>
      <c r="E6" s="7906"/>
      <c r="F6" s="7907"/>
      <c r="G6" s="7908"/>
      <c r="H6" s="7909"/>
      <c r="I6" s="7910"/>
      <c r="J6" s="7911"/>
      <c r="K6" s="7912"/>
      <c r="L6" s="7913"/>
      <c r="M6" s="7914"/>
      <c r="N6" s="7915"/>
      <c r="O6" s="7916"/>
      <c r="P6" s="7917"/>
      <c r="Q6" s="7918"/>
      <c r="R6" s="7919"/>
      <c r="S6" s="7920"/>
      <c r="T6" s="7921"/>
    </row>
    <row r="7">
      <c r="A7" s="7922" t="s">
        <v>86</v>
      </c>
      <c r="B7" s="7923">
        <v>0</v>
      </c>
      <c r="C7" s="7924">
        <v>697</v>
      </c>
      <c r="D7" s="7925">
        <v>0</v>
      </c>
      <c r="E7" s="7926"/>
      <c r="F7" s="7927"/>
      <c r="G7" s="7928"/>
      <c r="H7" s="7929"/>
      <c r="I7" s="7930"/>
      <c r="J7" s="7931"/>
      <c r="K7" s="7932"/>
      <c r="L7" s="7933"/>
      <c r="M7" s="7934"/>
      <c r="N7" s="7935"/>
      <c r="O7" s="7936"/>
      <c r="P7" s="7937"/>
      <c r="Q7" s="7938"/>
      <c r="R7" s="7939"/>
      <c r="S7" s="7940"/>
      <c r="T7" s="7941"/>
    </row>
    <row r="8">
      <c r="A8" s="7942" t="s">
        <v>87</v>
      </c>
      <c r="B8" s="7943">
        <v>4</v>
      </c>
      <c r="C8" s="7944">
        <v>715</v>
      </c>
      <c r="D8" s="7945">
        <v>0.55944055944055948</v>
      </c>
      <c r="E8" s="7946"/>
      <c r="F8" s="7947"/>
      <c r="G8" s="7948"/>
      <c r="H8" s="7949"/>
      <c r="I8" s="7950"/>
      <c r="J8" s="7951"/>
      <c r="K8" s="7952"/>
      <c r="L8" s="7953"/>
      <c r="M8" s="7954"/>
      <c r="N8" s="7955"/>
      <c r="O8" s="7956"/>
      <c r="P8" s="7957"/>
      <c r="Q8" s="7958"/>
      <c r="R8" s="7959"/>
      <c r="S8" s="7960"/>
      <c r="T8" s="7961"/>
    </row>
    <row r="9">
      <c r="A9" s="7962" t="s">
        <v>88</v>
      </c>
      <c r="B9" s="7963">
        <v>0</v>
      </c>
      <c r="C9" s="7964">
        <v>695</v>
      </c>
      <c r="D9" s="7965">
        <v>0</v>
      </c>
      <c r="E9" s="7966"/>
      <c r="F9" s="7967"/>
      <c r="G9" s="7968"/>
      <c r="H9" s="7969"/>
      <c r="I9" s="7970"/>
      <c r="J9" s="7971"/>
      <c r="K9" s="7972"/>
      <c r="L9" s="7973"/>
      <c r="M9" s="7974"/>
      <c r="N9" s="7975"/>
      <c r="O9" s="7976"/>
      <c r="P9" s="7977"/>
      <c r="Q9" s="7978"/>
      <c r="R9" s="7979"/>
      <c r="S9" s="7980"/>
      <c r="T9" s="7981"/>
    </row>
    <row r="10">
      <c r="A10" s="7982" t="s">
        <v>89</v>
      </c>
      <c r="B10" s="7983">
        <v>0</v>
      </c>
      <c r="C10" s="7984">
        <v>780</v>
      </c>
      <c r="D10" s="7985">
        <v>0</v>
      </c>
      <c r="E10" s="7986"/>
      <c r="F10" s="7987"/>
      <c r="G10" s="7988"/>
      <c r="H10" s="7989"/>
      <c r="I10" s="7990"/>
      <c r="J10" s="7991"/>
      <c r="K10" s="7992"/>
      <c r="L10" s="7993"/>
      <c r="M10" s="7994"/>
      <c r="N10" s="7995"/>
      <c r="O10" s="7996"/>
      <c r="P10" s="7997"/>
      <c r="Q10" s="7998"/>
      <c r="R10" s="7999"/>
      <c r="S10" s="8000"/>
      <c r="T10" s="8001"/>
    </row>
    <row r="11">
      <c r="A11" s="8002" t="s">
        <v>90</v>
      </c>
      <c r="B11" s="8003">
        <v>1</v>
      </c>
      <c r="C11" s="8004">
        <v>822</v>
      </c>
      <c r="D11" s="8005">
        <v>0.12165450121654502</v>
      </c>
      <c r="E11" s="8006"/>
      <c r="F11" s="8007"/>
      <c r="G11" s="8008"/>
      <c r="H11" s="8009"/>
      <c r="I11" s="8010"/>
      <c r="J11" s="8011"/>
      <c r="K11" s="8012"/>
      <c r="L11" s="8013"/>
      <c r="M11" s="8014"/>
      <c r="N11" s="8015"/>
      <c r="O11" s="8016"/>
      <c r="P11" s="8017"/>
      <c r="Q11" s="8018"/>
      <c r="R11" s="8019"/>
      <c r="S11" s="8020"/>
      <c r="T11" s="8021"/>
    </row>
    <row r="12">
      <c r="A12" s="8022" t="s">
        <v>91</v>
      </c>
      <c r="B12" s="8023">
        <v>0</v>
      </c>
      <c r="C12" s="8024">
        <v>807</v>
      </c>
      <c r="D12" s="8025">
        <v>0</v>
      </c>
      <c r="E12" s="8026"/>
      <c r="F12" s="8027"/>
      <c r="G12" s="8028"/>
      <c r="H12" s="8029"/>
      <c r="I12" s="8030"/>
      <c r="J12" s="8031"/>
      <c r="K12" s="8032"/>
      <c r="L12" s="8033"/>
      <c r="M12" s="8034"/>
      <c r="N12" s="8035"/>
      <c r="O12" s="8036"/>
      <c r="P12" s="8037"/>
      <c r="Q12" s="8038"/>
      <c r="R12" s="8039"/>
      <c r="S12" s="8040"/>
      <c r="T12" s="8041"/>
    </row>
    <row r="13">
      <c r="A13" s="8042" t="s">
        <v>92</v>
      </c>
      <c r="B13" s="8043">
        <v>0</v>
      </c>
      <c r="C13" s="8044">
        <v>933</v>
      </c>
      <c r="D13" s="8045">
        <v>0</v>
      </c>
      <c r="E13" s="8046"/>
      <c r="F13" s="8047"/>
      <c r="G13" s="8048"/>
      <c r="H13" s="8049"/>
      <c r="I13" s="8050"/>
      <c r="J13" s="8051"/>
      <c r="K13" s="8052"/>
      <c r="L13" s="8053"/>
      <c r="M13" s="8054"/>
      <c r="N13" s="8055"/>
      <c r="O13" s="8056"/>
      <c r="P13" s="8057"/>
      <c r="Q13" s="8058"/>
      <c r="R13" s="8059"/>
      <c r="S13" s="8060"/>
      <c r="T13" s="8061"/>
    </row>
    <row r="14">
      <c r="A14" s="8062" t="s">
        <v>93</v>
      </c>
      <c r="B14" s="8063">
        <v>0</v>
      </c>
      <c r="C14" s="8064">
        <v>854</v>
      </c>
      <c r="D14" s="8065">
        <v>0</v>
      </c>
      <c r="E14" s="8066"/>
      <c r="F14" s="8067"/>
      <c r="G14" s="8068"/>
      <c r="H14" s="8069"/>
      <c r="I14" s="8070"/>
      <c r="J14" s="8071"/>
      <c r="K14" s="8072"/>
      <c r="L14" s="8073"/>
      <c r="M14" s="8074"/>
      <c r="N14" s="8075"/>
      <c r="O14" s="8076"/>
      <c r="P14" s="8077"/>
      <c r="Q14" s="8078"/>
      <c r="R14" s="8079"/>
      <c r="S14" s="8080"/>
      <c r="T14" s="8081"/>
    </row>
    <row r="15">
      <c r="A15" s="8082" t="s">
        <v>94</v>
      </c>
      <c r="B15" s="8083">
        <v>0</v>
      </c>
      <c r="C15" s="8084">
        <v>730</v>
      </c>
      <c r="D15" s="8085">
        <v>0</v>
      </c>
      <c r="E15" s="8086"/>
      <c r="F15" s="8087"/>
      <c r="G15" s="8088"/>
      <c r="H15" s="8089"/>
      <c r="I15" s="8090"/>
      <c r="J15" s="8091"/>
      <c r="K15" s="8092"/>
      <c r="L15" s="8093"/>
      <c r="M15" s="8094"/>
      <c r="N15" s="8095"/>
      <c r="O15" s="8096"/>
      <c r="P15" s="8097"/>
      <c r="Q15" s="8098"/>
      <c r="R15" s="8099"/>
      <c r="S15" s="8100"/>
      <c r="T15" s="8101"/>
    </row>
    <row r="16">
      <c r="A16" s="8102" t="s">
        <v>95</v>
      </c>
      <c r="B16" s="8103">
        <v>0</v>
      </c>
      <c r="C16" s="8104">
        <v>809</v>
      </c>
      <c r="D16" s="8105">
        <v>0</v>
      </c>
      <c r="E16" s="8106"/>
      <c r="F16" s="8107"/>
      <c r="G16" s="8108"/>
      <c r="H16" s="8109"/>
      <c r="I16" s="8110"/>
      <c r="J16" s="8111"/>
      <c r="K16" s="8112"/>
      <c r="L16" s="8113"/>
      <c r="M16" s="8114"/>
      <c r="N16" s="8115"/>
      <c r="O16" s="8116"/>
      <c r="P16" s="8117"/>
      <c r="Q16" s="8118"/>
      <c r="R16" s="8119"/>
      <c r="S16" s="8120"/>
      <c r="T16" s="8121"/>
    </row>
    <row r="17">
      <c r="A17" s="8122" t="s">
        <v>96</v>
      </c>
      <c r="B17" s="8123">
        <v>0</v>
      </c>
      <c r="C17" s="8124">
        <v>870</v>
      </c>
      <c r="D17" s="8125">
        <v>0</v>
      </c>
      <c r="E17" s="8126"/>
      <c r="F17" s="8127"/>
      <c r="G17" s="8128"/>
      <c r="H17" s="8129"/>
      <c r="I17" s="8130"/>
      <c r="J17" s="8131"/>
      <c r="K17" s="8132"/>
      <c r="L17" s="8133"/>
      <c r="M17" s="8134"/>
      <c r="N17" s="8135"/>
      <c r="O17" s="8136"/>
      <c r="P17" s="8137"/>
      <c r="Q17" s="8138"/>
      <c r="R17" s="8139"/>
      <c r="S17" s="8140"/>
      <c r="T17" s="8141"/>
    </row>
    <row r="18">
      <c r="A18" s="8142" t="s">
        <v>97</v>
      </c>
      <c r="B18" s="8143">
        <v>27</v>
      </c>
      <c r="C18" s="8144">
        <v>10355</v>
      </c>
      <c r="D18" s="8145">
        <v>0.26074360212457748</v>
      </c>
      <c r="E18" s="8146"/>
      <c r="F18" s="8147"/>
      <c r="G18" s="8148"/>
      <c r="H18" s="8149"/>
      <c r="I18" s="8150"/>
      <c r="J18" s="8151"/>
      <c r="K18" s="8152"/>
      <c r="L18" s="8153"/>
      <c r="M18" s="8154"/>
      <c r="N18" s="8155"/>
      <c r="O18" s="8156"/>
      <c r="P18" s="8157"/>
      <c r="Q18" s="8158"/>
      <c r="R18" s="8159"/>
      <c r="S18" s="8160"/>
      <c r="T18" s="8161"/>
    </row>
    <row r="19">
      <c r="A19" s="8162" t="s">
        <v>98</v>
      </c>
      <c r="B19" s="8163"/>
      <c r="C19" s="8164"/>
      <c r="D19" s="8165"/>
      <c r="E19" s="8166"/>
      <c r="F19" s="8167"/>
      <c r="G19" s="8168"/>
      <c r="H19" s="8169"/>
      <c r="I19" s="8170"/>
      <c r="J19" s="8171"/>
      <c r="K19" s="8172"/>
      <c r="L19" s="8173"/>
      <c r="M19" s="8174"/>
      <c r="N19" s="8175"/>
      <c r="O19" s="8176"/>
      <c r="P19" s="8177"/>
      <c r="Q19" s="8178"/>
      <c r="R19" s="8179"/>
      <c r="S19" s="8180"/>
      <c r="T19" s="8181"/>
    </row>
    <row r="20">
      <c r="A20" s="8182"/>
      <c r="B20" s="8183"/>
      <c r="C20" s="8184"/>
      <c r="D20" s="8185"/>
      <c r="E20" s="8186"/>
      <c r="F20" s="8187"/>
      <c r="G20" s="8188"/>
      <c r="H20" s="8189"/>
      <c r="I20" s="8190"/>
      <c r="J20" s="8191"/>
      <c r="K20" s="8192"/>
      <c r="L20" s="8193"/>
      <c r="M20" s="8194"/>
      <c r="N20" s="8195"/>
      <c r="O20" s="8196"/>
      <c r="P20" s="8197"/>
      <c r="Q20" s="8198"/>
      <c r="R20" s="8199"/>
      <c r="S20" s="8200"/>
      <c r="T20" s="8201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6" width="15.453125" style="8202" customWidth="true"/>
  </cols>
  <sheetData>
    <row r="1">
      <c r="A1" s="8203" t="s">
        <v>102</v>
      </c>
      <c r="B1" s="8204"/>
      <c r="C1" s="8205"/>
      <c r="D1" s="8206"/>
      <c r="E1" s="8207"/>
      <c r="F1" s="8208"/>
      <c r="G1" s="8209"/>
      <c r="H1" s="8210"/>
      <c r="I1" s="8211"/>
      <c r="J1" s="8212"/>
      <c r="K1" s="8213"/>
      <c r="L1" s="8214"/>
      <c r="M1" s="8215"/>
      <c r="N1" s="8216"/>
      <c r="O1" s="8217"/>
      <c r="P1" s="8218"/>
      <c r="Q1" s="8219"/>
      <c r="R1" s="8220"/>
      <c r="S1" s="8221"/>
      <c r="T1" s="8222"/>
    </row>
    <row r="2">
      <c r="A2" s="8223"/>
      <c r="B2" s="8224" t="s">
        <v>79</v>
      </c>
      <c r="C2" s="8225" t="s">
        <v>80</v>
      </c>
      <c r="D2" s="8226" t="s">
        <v>81</v>
      </c>
      <c r="E2" s="8227"/>
      <c r="F2" s="8228"/>
      <c r="G2" s="8229"/>
      <c r="H2" s="8230"/>
      <c r="I2" s="8231"/>
      <c r="J2" s="8232"/>
      <c r="K2" s="8233"/>
      <c r="L2" s="8234"/>
      <c r="M2" s="8235"/>
      <c r="N2" s="8236"/>
      <c r="O2" s="8237"/>
      <c r="P2" s="8238"/>
      <c r="Q2" s="8239"/>
      <c r="R2" s="8240"/>
      <c r="S2" s="8241"/>
      <c r="T2" s="8242"/>
    </row>
    <row r="3">
      <c r="A3" s="8243" t="s">
        <v>82</v>
      </c>
      <c r="B3" s="8244"/>
      <c r="C3" s="8245"/>
      <c r="D3" s="8246"/>
      <c r="E3" s="8247"/>
      <c r="F3" s="8248"/>
      <c r="G3" s="8249"/>
      <c r="H3" s="8250"/>
      <c r="I3" s="8251"/>
      <c r="J3" s="8252"/>
      <c r="K3" s="8253"/>
      <c r="L3" s="8254"/>
      <c r="M3" s="8255"/>
      <c r="N3" s="8256"/>
      <c r="O3" s="8257"/>
      <c r="P3" s="8258"/>
      <c r="Q3" s="8259"/>
      <c r="R3" s="8260"/>
      <c r="S3" s="8261"/>
      <c r="T3" s="8262"/>
    </row>
    <row r="4">
      <c r="A4" s="8263" t="s">
        <v>83</v>
      </c>
      <c r="B4" s="8264">
        <v>35</v>
      </c>
      <c r="C4" s="8265">
        <v>398</v>
      </c>
      <c r="D4" s="8266">
        <v>8.7939698492462313</v>
      </c>
      <c r="E4" s="8267"/>
      <c r="F4" s="8268"/>
      <c r="G4" s="8269"/>
      <c r="H4" s="8270"/>
      <c r="I4" s="8271"/>
      <c r="J4" s="8272"/>
      <c r="K4" s="8273"/>
      <c r="L4" s="8274"/>
      <c r="M4" s="8275"/>
      <c r="N4" s="8276"/>
      <c r="O4" s="8277"/>
      <c r="P4" s="8278"/>
      <c r="Q4" s="8279"/>
      <c r="R4" s="8280"/>
      <c r="S4" s="8281"/>
      <c r="T4" s="8282"/>
    </row>
    <row r="5">
      <c r="A5" s="8283" t="s">
        <v>84</v>
      </c>
      <c r="B5" s="8284">
        <v>14</v>
      </c>
      <c r="C5" s="8285">
        <v>396</v>
      </c>
      <c r="D5" s="8286">
        <v>3.535353535353535</v>
      </c>
      <c r="E5" s="8287"/>
      <c r="F5" s="8288"/>
      <c r="G5" s="8289"/>
      <c r="H5" s="8290"/>
      <c r="I5" s="8291"/>
      <c r="J5" s="8292"/>
      <c r="K5" s="8293"/>
      <c r="L5" s="8294"/>
      <c r="M5" s="8295"/>
      <c r="N5" s="8296"/>
      <c r="O5" s="8297"/>
      <c r="P5" s="8298"/>
      <c r="Q5" s="8299"/>
      <c r="R5" s="8300"/>
      <c r="S5" s="8301"/>
      <c r="T5" s="8302"/>
    </row>
    <row r="6">
      <c r="A6" s="8303" t="s">
        <v>85</v>
      </c>
      <c r="B6" s="8304">
        <v>11</v>
      </c>
      <c r="C6" s="8305">
        <v>423</v>
      </c>
      <c r="D6" s="8306">
        <v>2.6004728132387705</v>
      </c>
      <c r="E6" s="8307"/>
      <c r="F6" s="8308"/>
      <c r="G6" s="8309"/>
      <c r="H6" s="8310"/>
      <c r="I6" s="8311"/>
      <c r="J6" s="8312"/>
      <c r="K6" s="8313"/>
      <c r="L6" s="8314"/>
      <c r="M6" s="8315"/>
      <c r="N6" s="8316"/>
      <c r="O6" s="8317"/>
      <c r="P6" s="8318"/>
      <c r="Q6" s="8319"/>
      <c r="R6" s="8320"/>
      <c r="S6" s="8321"/>
      <c r="T6" s="8322"/>
    </row>
    <row r="7">
      <c r="A7" s="8323" t="s">
        <v>86</v>
      </c>
      <c r="B7" s="8324">
        <v>2</v>
      </c>
      <c r="C7" s="8325">
        <v>491</v>
      </c>
      <c r="D7" s="8326">
        <v>0.40733197556008144</v>
      </c>
      <c r="E7" s="8327"/>
      <c r="F7" s="8328"/>
      <c r="G7" s="8329"/>
      <c r="H7" s="8330"/>
      <c r="I7" s="8331"/>
      <c r="J7" s="8332"/>
      <c r="K7" s="8333"/>
      <c r="L7" s="8334"/>
      <c r="M7" s="8335"/>
      <c r="N7" s="8336"/>
      <c r="O7" s="8337"/>
      <c r="P7" s="8338"/>
      <c r="Q7" s="8339"/>
      <c r="R7" s="8340"/>
      <c r="S7" s="8341"/>
      <c r="T7" s="8342"/>
    </row>
    <row r="8">
      <c r="A8" s="8343" t="s">
        <v>87</v>
      </c>
      <c r="B8" s="8344">
        <v>7</v>
      </c>
      <c r="C8" s="8345">
        <v>513</v>
      </c>
      <c r="D8" s="8346">
        <v>1.364522417153996</v>
      </c>
      <c r="E8" s="8347"/>
      <c r="F8" s="8348"/>
      <c r="G8" s="8349"/>
      <c r="H8" s="8350"/>
      <c r="I8" s="8351"/>
      <c r="J8" s="8352"/>
      <c r="K8" s="8353"/>
      <c r="L8" s="8354"/>
      <c r="M8" s="8355"/>
      <c r="N8" s="8356"/>
      <c r="O8" s="8357"/>
      <c r="P8" s="8358"/>
      <c r="Q8" s="8359"/>
      <c r="R8" s="8360"/>
      <c r="S8" s="8361"/>
      <c r="T8" s="8362"/>
    </row>
    <row r="9">
      <c r="A9" s="8363" t="s">
        <v>88</v>
      </c>
      <c r="B9" s="8364">
        <v>8</v>
      </c>
      <c r="C9" s="8365">
        <v>504</v>
      </c>
      <c r="D9" s="8366">
        <v>1.5873015873015872</v>
      </c>
      <c r="E9" s="8367"/>
      <c r="F9" s="8368"/>
      <c r="G9" s="8369"/>
      <c r="H9" s="8370"/>
      <c r="I9" s="8371"/>
      <c r="J9" s="8372"/>
      <c r="K9" s="8373"/>
      <c r="L9" s="8374"/>
      <c r="M9" s="8375"/>
      <c r="N9" s="8376"/>
      <c r="O9" s="8377"/>
      <c r="P9" s="8378"/>
      <c r="Q9" s="8379"/>
      <c r="R9" s="8380"/>
      <c r="S9" s="8381"/>
      <c r="T9" s="8382"/>
    </row>
    <row r="10">
      <c r="A10" s="8383" t="s">
        <v>89</v>
      </c>
      <c r="B10" s="8384">
        <v>3</v>
      </c>
      <c r="C10" s="8385">
        <v>544</v>
      </c>
      <c r="D10" s="8386">
        <v>0.55147058823529416</v>
      </c>
      <c r="E10" s="8387"/>
      <c r="F10" s="8388"/>
      <c r="G10" s="8389"/>
      <c r="H10" s="8390"/>
      <c r="I10" s="8391"/>
      <c r="J10" s="8392"/>
      <c r="K10" s="8393"/>
      <c r="L10" s="8394"/>
      <c r="M10" s="8395"/>
      <c r="N10" s="8396"/>
      <c r="O10" s="8397"/>
      <c r="P10" s="8398"/>
      <c r="Q10" s="8399"/>
      <c r="R10" s="8400"/>
      <c r="S10" s="8401"/>
      <c r="T10" s="8402"/>
    </row>
    <row r="11">
      <c r="A11" s="8403" t="s">
        <v>90</v>
      </c>
      <c r="B11" s="8404">
        <v>1</v>
      </c>
      <c r="C11" s="8405">
        <v>595</v>
      </c>
      <c r="D11" s="8406">
        <v>0.16806722689075632</v>
      </c>
      <c r="E11" s="8407"/>
      <c r="F11" s="8408"/>
      <c r="G11" s="8409"/>
      <c r="H11" s="8410"/>
      <c r="I11" s="8411"/>
      <c r="J11" s="8412"/>
      <c r="K11" s="8413"/>
      <c r="L11" s="8414"/>
      <c r="M11" s="8415"/>
      <c r="N11" s="8416"/>
      <c r="O11" s="8417"/>
      <c r="P11" s="8418"/>
      <c r="Q11" s="8419"/>
      <c r="R11" s="8420"/>
      <c r="S11" s="8421"/>
      <c r="T11" s="8422"/>
    </row>
    <row r="12">
      <c r="A12" s="8423" t="s">
        <v>91</v>
      </c>
      <c r="B12" s="8424">
        <v>1</v>
      </c>
      <c r="C12" s="8425">
        <v>592</v>
      </c>
      <c r="D12" s="8426">
        <v>0.16891891891891891</v>
      </c>
      <c r="E12" s="8427"/>
      <c r="F12" s="8428"/>
      <c r="G12" s="8429"/>
      <c r="H12" s="8430"/>
      <c r="I12" s="8431"/>
      <c r="J12" s="8432"/>
      <c r="K12" s="8433"/>
      <c r="L12" s="8434"/>
      <c r="M12" s="8435"/>
      <c r="N12" s="8436"/>
      <c r="O12" s="8437"/>
      <c r="P12" s="8438"/>
      <c r="Q12" s="8439"/>
      <c r="R12" s="8440"/>
      <c r="S12" s="8441"/>
      <c r="T12" s="8442"/>
    </row>
    <row r="13">
      <c r="A13" s="8443" t="s">
        <v>92</v>
      </c>
      <c r="B13" s="8444">
        <v>5</v>
      </c>
      <c r="C13" s="8445">
        <v>628</v>
      </c>
      <c r="D13" s="8446">
        <v>0.79617834394904463</v>
      </c>
      <c r="E13" s="8447"/>
      <c r="F13" s="8448"/>
      <c r="G13" s="8449"/>
      <c r="H13" s="8450"/>
      <c r="I13" s="8451"/>
      <c r="J13" s="8452"/>
      <c r="K13" s="8453"/>
      <c r="L13" s="8454"/>
      <c r="M13" s="8455"/>
      <c r="N13" s="8456"/>
      <c r="O13" s="8457"/>
      <c r="P13" s="8458"/>
      <c r="Q13" s="8459"/>
      <c r="R13" s="8460"/>
      <c r="S13" s="8461"/>
      <c r="T13" s="8462"/>
    </row>
    <row r="14">
      <c r="A14" s="8463" t="s">
        <v>93</v>
      </c>
      <c r="B14" s="8464">
        <v>2</v>
      </c>
      <c r="C14" s="8465">
        <v>609</v>
      </c>
      <c r="D14" s="8466">
        <v>0.32840722495894908</v>
      </c>
      <c r="E14" s="8467"/>
      <c r="F14" s="8468"/>
      <c r="G14" s="8469"/>
      <c r="H14" s="8470"/>
      <c r="I14" s="8471"/>
      <c r="J14" s="8472"/>
      <c r="K14" s="8473"/>
      <c r="L14" s="8474"/>
      <c r="M14" s="8475"/>
      <c r="N14" s="8476"/>
      <c r="O14" s="8477"/>
      <c r="P14" s="8478"/>
      <c r="Q14" s="8479"/>
      <c r="R14" s="8480"/>
      <c r="S14" s="8481"/>
      <c r="T14" s="8482"/>
    </row>
    <row r="15">
      <c r="A15" s="8483" t="s">
        <v>94</v>
      </c>
      <c r="B15" s="8484">
        <v>45</v>
      </c>
      <c r="C15" s="8485">
        <v>517</v>
      </c>
      <c r="D15" s="8486">
        <v>8.7040618955512574</v>
      </c>
      <c r="E15" s="8487"/>
      <c r="F15" s="8488"/>
      <c r="G15" s="8489"/>
      <c r="H15" s="8490"/>
      <c r="I15" s="8491"/>
      <c r="J15" s="8492"/>
      <c r="K15" s="8493"/>
      <c r="L15" s="8494"/>
      <c r="M15" s="8495"/>
      <c r="N15" s="8496"/>
      <c r="O15" s="8497"/>
      <c r="P15" s="8498"/>
      <c r="Q15" s="8499"/>
      <c r="R15" s="8500"/>
      <c r="S15" s="8501"/>
      <c r="T15" s="8502"/>
    </row>
    <row r="16">
      <c r="A16" s="8503" t="s">
        <v>95</v>
      </c>
      <c r="B16" s="8504">
        <v>105</v>
      </c>
      <c r="C16" s="8505">
        <v>595</v>
      </c>
      <c r="D16" s="8506">
        <v>17.647058823529413</v>
      </c>
      <c r="E16" s="8507"/>
      <c r="F16" s="8508"/>
      <c r="G16" s="8509"/>
      <c r="H16" s="8510"/>
      <c r="I16" s="8511"/>
      <c r="J16" s="8512"/>
      <c r="K16" s="8513"/>
      <c r="L16" s="8514"/>
      <c r="M16" s="8515"/>
      <c r="N16" s="8516"/>
      <c r="O16" s="8517"/>
      <c r="P16" s="8518"/>
      <c r="Q16" s="8519"/>
      <c r="R16" s="8520"/>
      <c r="S16" s="8521"/>
      <c r="T16" s="8522"/>
    </row>
    <row r="17">
      <c r="A17" s="8523" t="s">
        <v>96</v>
      </c>
      <c r="B17" s="8524">
        <v>226</v>
      </c>
      <c r="C17" s="8525">
        <v>725</v>
      </c>
      <c r="D17" s="8526">
        <v>31.172413793103448</v>
      </c>
      <c r="E17" s="8527"/>
      <c r="F17" s="8528"/>
      <c r="G17" s="8529"/>
      <c r="H17" s="8530"/>
      <c r="I17" s="8531"/>
      <c r="J17" s="8532"/>
      <c r="K17" s="8533"/>
      <c r="L17" s="8534"/>
      <c r="M17" s="8535"/>
      <c r="N17" s="8536"/>
      <c r="O17" s="8537"/>
      <c r="P17" s="8538"/>
      <c r="Q17" s="8539"/>
      <c r="R17" s="8540"/>
      <c r="S17" s="8541"/>
      <c r="T17" s="8542"/>
    </row>
    <row r="18">
      <c r="A18" s="8543" t="s">
        <v>97</v>
      </c>
      <c r="B18" s="8544">
        <v>465</v>
      </c>
      <c r="C18" s="8545">
        <v>7530</v>
      </c>
      <c r="D18" s="8546">
        <v>6.1752988047808763</v>
      </c>
      <c r="E18" s="8547"/>
      <c r="F18" s="8548"/>
      <c r="G18" s="8549"/>
      <c r="H18" s="8550"/>
      <c r="I18" s="8551"/>
      <c r="J18" s="8552"/>
      <c r="K18" s="8553"/>
      <c r="L18" s="8554"/>
      <c r="M18" s="8555"/>
      <c r="N18" s="8556"/>
      <c r="O18" s="8557"/>
      <c r="P18" s="8558"/>
      <c r="Q18" s="8559"/>
      <c r="R18" s="8560"/>
      <c r="S18" s="8561"/>
      <c r="T18" s="8562"/>
    </row>
    <row r="19">
      <c r="A19" s="8563" t="s">
        <v>98</v>
      </c>
      <c r="B19" s="8564"/>
      <c r="C19" s="8565"/>
      <c r="D19" s="8566"/>
      <c r="E19" s="8567"/>
      <c r="F19" s="8568"/>
      <c r="G19" s="8569"/>
      <c r="H19" s="8570"/>
      <c r="I19" s="8571"/>
      <c r="J19" s="8572"/>
      <c r="K19" s="8573"/>
      <c r="L19" s="8574"/>
      <c r="M19" s="8575"/>
      <c r="N19" s="8576"/>
      <c r="O19" s="8577"/>
      <c r="P19" s="8578"/>
      <c r="Q19" s="8579"/>
      <c r="R19" s="8580"/>
      <c r="S19" s="8581"/>
      <c r="T19" s="8582"/>
    </row>
    <row r="20">
      <c r="A20" s="8583"/>
      <c r="B20" s="8584"/>
      <c r="C20" s="8585"/>
      <c r="D20" s="8586"/>
      <c r="E20" s="8587"/>
      <c r="F20" s="8588"/>
      <c r="G20" s="8589"/>
      <c r="H20" s="8590"/>
      <c r="I20" s="8591"/>
      <c r="J20" s="8592"/>
      <c r="K20" s="8593"/>
      <c r="L20" s="8594"/>
      <c r="M20" s="8595"/>
      <c r="N20" s="8596"/>
      <c r="O20" s="8597"/>
      <c r="P20" s="8598"/>
      <c r="Q20" s="8599"/>
      <c r="R20" s="8600"/>
      <c r="S20" s="8601"/>
      <c r="T20" s="8602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6" width="15.453125" style="8603" customWidth="true"/>
  </cols>
  <sheetData>
    <row r="1">
      <c r="A1" s="8604" t="s">
        <v>103</v>
      </c>
      <c r="B1" s="8605"/>
      <c r="C1" s="8606"/>
      <c r="D1" s="8607"/>
      <c r="E1" s="8608"/>
      <c r="F1" s="8609"/>
      <c r="G1" s="8610"/>
      <c r="H1" s="8611"/>
      <c r="I1" s="8612"/>
      <c r="J1" s="8613"/>
      <c r="K1" s="8614"/>
      <c r="L1" s="8615"/>
      <c r="M1" s="8616"/>
      <c r="N1" s="8617"/>
      <c r="O1" s="8618"/>
      <c r="P1" s="8619"/>
      <c r="Q1" s="8620"/>
      <c r="R1" s="8621"/>
      <c r="S1" s="8622"/>
      <c r="T1" s="8623"/>
    </row>
    <row r="2">
      <c r="A2" s="8624"/>
      <c r="B2" s="8625" t="s">
        <v>79</v>
      </c>
      <c r="C2" s="8626" t="s">
        <v>80</v>
      </c>
      <c r="D2" s="8627" t="s">
        <v>81</v>
      </c>
      <c r="E2" s="8628"/>
      <c r="F2" s="8629"/>
      <c r="G2" s="8630"/>
      <c r="H2" s="8631"/>
      <c r="I2" s="8632"/>
      <c r="J2" s="8633"/>
      <c r="K2" s="8634"/>
      <c r="L2" s="8635"/>
      <c r="M2" s="8636"/>
      <c r="N2" s="8637"/>
      <c r="O2" s="8638"/>
      <c r="P2" s="8639"/>
      <c r="Q2" s="8640"/>
      <c r="R2" s="8641"/>
      <c r="S2" s="8642"/>
      <c r="T2" s="8643"/>
    </row>
    <row r="3">
      <c r="A3" s="8644" t="s">
        <v>82</v>
      </c>
      <c r="B3" s="8645"/>
      <c r="C3" s="8646"/>
      <c r="D3" s="8647"/>
      <c r="E3" s="8648"/>
      <c r="F3" s="8649"/>
      <c r="G3" s="8650"/>
      <c r="H3" s="8651"/>
      <c r="I3" s="8652"/>
      <c r="J3" s="8653"/>
      <c r="K3" s="8654"/>
      <c r="L3" s="8655"/>
      <c r="M3" s="8656"/>
      <c r="N3" s="8657"/>
      <c r="O3" s="8658"/>
      <c r="P3" s="8659"/>
      <c r="Q3" s="8660"/>
      <c r="R3" s="8661"/>
      <c r="S3" s="8662"/>
      <c r="T3" s="8663"/>
    </row>
    <row r="4">
      <c r="A4" s="8664" t="s">
        <v>83</v>
      </c>
      <c r="B4" s="8665">
        <v>0</v>
      </c>
      <c r="C4" s="8666">
        <v>157</v>
      </c>
      <c r="D4" s="8667">
        <v>0</v>
      </c>
      <c r="E4" s="8668"/>
      <c r="F4" s="8669"/>
      <c r="G4" s="8670"/>
      <c r="H4" s="8671"/>
      <c r="I4" s="8672"/>
      <c r="J4" s="8673"/>
      <c r="K4" s="8674"/>
      <c r="L4" s="8675"/>
      <c r="M4" s="8676"/>
      <c r="N4" s="8677"/>
      <c r="O4" s="8678"/>
      <c r="P4" s="8679"/>
      <c r="Q4" s="8680"/>
      <c r="R4" s="8681"/>
      <c r="S4" s="8682"/>
      <c r="T4" s="8683"/>
    </row>
    <row r="5">
      <c r="A5" s="8684" t="s">
        <v>84</v>
      </c>
      <c r="B5" s="8685">
        <v>0</v>
      </c>
      <c r="C5" s="8686">
        <v>108</v>
      </c>
      <c r="D5" s="8687">
        <v>0</v>
      </c>
      <c r="E5" s="8688"/>
      <c r="F5" s="8689"/>
      <c r="G5" s="8690"/>
      <c r="H5" s="8691"/>
      <c r="I5" s="8692"/>
      <c r="J5" s="8693"/>
      <c r="K5" s="8694"/>
      <c r="L5" s="8695"/>
      <c r="M5" s="8696"/>
      <c r="N5" s="8697"/>
      <c r="O5" s="8698"/>
      <c r="P5" s="8699"/>
      <c r="Q5" s="8700"/>
      <c r="R5" s="8701"/>
      <c r="S5" s="8702"/>
      <c r="T5" s="8703"/>
    </row>
    <row r="6">
      <c r="A6" s="8704" t="s">
        <v>85</v>
      </c>
      <c r="B6" s="8705">
        <v>2</v>
      </c>
      <c r="C6" s="8706">
        <v>161</v>
      </c>
      <c r="D6" s="8707">
        <v>1.2422360248447204</v>
      </c>
      <c r="E6" s="8708"/>
      <c r="F6" s="8709"/>
      <c r="G6" s="8710"/>
      <c r="H6" s="8711"/>
      <c r="I6" s="8712"/>
      <c r="J6" s="8713"/>
      <c r="K6" s="8714"/>
      <c r="L6" s="8715"/>
      <c r="M6" s="8716"/>
      <c r="N6" s="8717"/>
      <c r="O6" s="8718"/>
      <c r="P6" s="8719"/>
      <c r="Q6" s="8720"/>
      <c r="R6" s="8721"/>
      <c r="S6" s="8722"/>
      <c r="T6" s="8723"/>
    </row>
    <row r="7">
      <c r="A7" s="8724" t="s">
        <v>86</v>
      </c>
      <c r="B7" s="8725">
        <v>0</v>
      </c>
      <c r="C7" s="8726">
        <v>206</v>
      </c>
      <c r="D7" s="8727">
        <v>0</v>
      </c>
      <c r="E7" s="8728"/>
      <c r="F7" s="8729"/>
      <c r="G7" s="8730"/>
      <c r="H7" s="8731"/>
      <c r="I7" s="8732"/>
      <c r="J7" s="8733"/>
      <c r="K7" s="8734"/>
      <c r="L7" s="8735"/>
      <c r="M7" s="8736"/>
      <c r="N7" s="8737"/>
      <c r="O7" s="8738"/>
      <c r="P7" s="8739"/>
      <c r="Q7" s="8740"/>
      <c r="R7" s="8741"/>
      <c r="S7" s="8742"/>
      <c r="T7" s="8743"/>
    </row>
    <row r="8">
      <c r="A8" s="8744" t="s">
        <v>87</v>
      </c>
      <c r="B8" s="8745">
        <v>0</v>
      </c>
      <c r="C8" s="8746">
        <v>202</v>
      </c>
      <c r="D8" s="8747">
        <v>0</v>
      </c>
      <c r="E8" s="8748"/>
      <c r="F8" s="8749"/>
      <c r="G8" s="8750"/>
      <c r="H8" s="8751"/>
      <c r="I8" s="8752"/>
      <c r="J8" s="8753"/>
      <c r="K8" s="8754"/>
      <c r="L8" s="8755"/>
      <c r="M8" s="8756"/>
      <c r="N8" s="8757"/>
      <c r="O8" s="8758"/>
      <c r="P8" s="8759"/>
      <c r="Q8" s="8760"/>
      <c r="R8" s="8761"/>
      <c r="S8" s="8762"/>
      <c r="T8" s="8763"/>
    </row>
    <row r="9">
      <c r="A9" s="8764" t="s">
        <v>88</v>
      </c>
      <c r="B9" s="8765">
        <v>0</v>
      </c>
      <c r="C9" s="8766">
        <v>191</v>
      </c>
      <c r="D9" s="8767">
        <v>0</v>
      </c>
      <c r="E9" s="8768"/>
      <c r="F9" s="8769"/>
      <c r="G9" s="8770"/>
      <c r="H9" s="8771"/>
      <c r="I9" s="8772"/>
      <c r="J9" s="8773"/>
      <c r="K9" s="8774"/>
      <c r="L9" s="8775"/>
      <c r="M9" s="8776"/>
      <c r="N9" s="8777"/>
      <c r="O9" s="8778"/>
      <c r="P9" s="8779"/>
      <c r="Q9" s="8780"/>
      <c r="R9" s="8781"/>
      <c r="S9" s="8782"/>
      <c r="T9" s="8783"/>
    </row>
    <row r="10">
      <c r="A10" s="8784" t="s">
        <v>89</v>
      </c>
      <c r="B10" s="8785">
        <v>0</v>
      </c>
      <c r="C10" s="8786">
        <v>236</v>
      </c>
      <c r="D10" s="8787">
        <v>0</v>
      </c>
      <c r="E10" s="8788"/>
      <c r="F10" s="8789"/>
      <c r="G10" s="8790"/>
      <c r="H10" s="8791"/>
      <c r="I10" s="8792"/>
      <c r="J10" s="8793"/>
      <c r="K10" s="8794"/>
      <c r="L10" s="8795"/>
      <c r="M10" s="8796"/>
      <c r="N10" s="8797"/>
      <c r="O10" s="8798"/>
      <c r="P10" s="8799"/>
      <c r="Q10" s="8800"/>
      <c r="R10" s="8801"/>
      <c r="S10" s="8802"/>
      <c r="T10" s="8803"/>
    </row>
    <row r="11">
      <c r="A11" s="8804" t="s">
        <v>90</v>
      </c>
      <c r="B11" s="8805">
        <v>0</v>
      </c>
      <c r="C11" s="8806">
        <v>227</v>
      </c>
      <c r="D11" s="8807">
        <v>0</v>
      </c>
      <c r="E11" s="8808"/>
      <c r="F11" s="8809"/>
      <c r="G11" s="8810"/>
      <c r="H11" s="8811"/>
      <c r="I11" s="8812"/>
      <c r="J11" s="8813"/>
      <c r="K11" s="8814"/>
      <c r="L11" s="8815"/>
      <c r="M11" s="8816"/>
      <c r="N11" s="8817"/>
      <c r="O11" s="8818"/>
      <c r="P11" s="8819"/>
      <c r="Q11" s="8820"/>
      <c r="R11" s="8821"/>
      <c r="S11" s="8822"/>
      <c r="T11" s="8823"/>
    </row>
    <row r="12">
      <c r="A12" s="8824" t="s">
        <v>91</v>
      </c>
      <c r="B12" s="8825">
        <v>0</v>
      </c>
      <c r="C12" s="8826">
        <v>215</v>
      </c>
      <c r="D12" s="8827">
        <v>0</v>
      </c>
      <c r="E12" s="8828"/>
      <c r="F12" s="8829"/>
      <c r="G12" s="8830"/>
      <c r="H12" s="8831"/>
      <c r="I12" s="8832"/>
      <c r="J12" s="8833"/>
      <c r="K12" s="8834"/>
      <c r="L12" s="8835"/>
      <c r="M12" s="8836"/>
      <c r="N12" s="8837"/>
      <c r="O12" s="8838"/>
      <c r="P12" s="8839"/>
      <c r="Q12" s="8840"/>
      <c r="R12" s="8841"/>
      <c r="S12" s="8842"/>
      <c r="T12" s="8843"/>
    </row>
    <row r="13">
      <c r="A13" s="8844" t="s">
        <v>92</v>
      </c>
      <c r="B13" s="8845">
        <v>0</v>
      </c>
      <c r="C13" s="8846">
        <v>305</v>
      </c>
      <c r="D13" s="8847">
        <v>0</v>
      </c>
      <c r="E13" s="8848"/>
      <c r="F13" s="8849"/>
      <c r="G13" s="8850"/>
      <c r="H13" s="8851"/>
      <c r="I13" s="8852"/>
      <c r="J13" s="8853"/>
      <c r="K13" s="8854"/>
      <c r="L13" s="8855"/>
      <c r="M13" s="8856"/>
      <c r="N13" s="8857"/>
      <c r="O13" s="8858"/>
      <c r="P13" s="8859"/>
      <c r="Q13" s="8860"/>
      <c r="R13" s="8861"/>
      <c r="S13" s="8862"/>
      <c r="T13" s="8863"/>
    </row>
    <row r="14">
      <c r="A14" s="8864" t="s">
        <v>93</v>
      </c>
      <c r="B14" s="8865">
        <v>0</v>
      </c>
      <c r="C14" s="8866">
        <v>245</v>
      </c>
      <c r="D14" s="8867">
        <v>0</v>
      </c>
      <c r="E14" s="8868"/>
      <c r="F14" s="8869"/>
      <c r="G14" s="8870"/>
      <c r="H14" s="8871"/>
      <c r="I14" s="8872"/>
      <c r="J14" s="8873"/>
      <c r="K14" s="8874"/>
      <c r="L14" s="8875"/>
      <c r="M14" s="8876"/>
      <c r="N14" s="8877"/>
      <c r="O14" s="8878"/>
      <c r="P14" s="8879"/>
      <c r="Q14" s="8880"/>
      <c r="R14" s="8881"/>
      <c r="S14" s="8882"/>
      <c r="T14" s="8883"/>
    </row>
    <row r="15">
      <c r="A15" s="8884" t="s">
        <v>94</v>
      </c>
      <c r="B15" s="8885">
        <v>0</v>
      </c>
      <c r="C15" s="8886">
        <v>213</v>
      </c>
      <c r="D15" s="8887">
        <v>0</v>
      </c>
      <c r="E15" s="8888"/>
      <c r="F15" s="8889"/>
      <c r="G15" s="8890"/>
      <c r="H15" s="8891"/>
      <c r="I15" s="8892"/>
      <c r="J15" s="8893"/>
      <c r="K15" s="8894"/>
      <c r="L15" s="8895"/>
      <c r="M15" s="8896"/>
      <c r="N15" s="8897"/>
      <c r="O15" s="8898"/>
      <c r="P15" s="8899"/>
      <c r="Q15" s="8900"/>
      <c r="R15" s="8901"/>
      <c r="S15" s="8902"/>
      <c r="T15" s="8903"/>
    </row>
    <row r="16">
      <c r="A16" s="8904" t="s">
        <v>95</v>
      </c>
      <c r="B16" s="8905">
        <v>0</v>
      </c>
      <c r="C16" s="8906">
        <v>214</v>
      </c>
      <c r="D16" s="8907">
        <v>0</v>
      </c>
      <c r="E16" s="8908"/>
      <c r="F16" s="8909"/>
      <c r="G16" s="8910"/>
      <c r="H16" s="8911"/>
      <c r="I16" s="8912"/>
      <c r="J16" s="8913"/>
      <c r="K16" s="8914"/>
      <c r="L16" s="8915"/>
      <c r="M16" s="8916"/>
      <c r="N16" s="8917"/>
      <c r="O16" s="8918"/>
      <c r="P16" s="8919"/>
      <c r="Q16" s="8920"/>
      <c r="R16" s="8921"/>
      <c r="S16" s="8922"/>
      <c r="T16" s="8923"/>
    </row>
    <row r="17">
      <c r="A17" s="8924" t="s">
        <v>96</v>
      </c>
      <c r="B17" s="8925">
        <v>0</v>
      </c>
      <c r="C17" s="8926">
        <v>145</v>
      </c>
      <c r="D17" s="8927">
        <v>0</v>
      </c>
      <c r="E17" s="8928"/>
      <c r="F17" s="8929"/>
      <c r="G17" s="8930"/>
      <c r="H17" s="8931"/>
      <c r="I17" s="8932"/>
      <c r="J17" s="8933"/>
      <c r="K17" s="8934"/>
      <c r="L17" s="8935"/>
      <c r="M17" s="8936"/>
      <c r="N17" s="8937"/>
      <c r="O17" s="8938"/>
      <c r="P17" s="8939"/>
      <c r="Q17" s="8940"/>
      <c r="R17" s="8941"/>
      <c r="S17" s="8942"/>
      <c r="T17" s="8943"/>
    </row>
    <row r="18">
      <c r="A18" s="8944" t="s">
        <v>97</v>
      </c>
      <c r="B18" s="8945">
        <v>2</v>
      </c>
      <c r="C18" s="8946">
        <v>2825</v>
      </c>
      <c r="D18" s="8947">
        <v>0.07079646017699115</v>
      </c>
      <c r="E18" s="8948"/>
      <c r="F18" s="8949"/>
      <c r="G18" s="8950"/>
      <c r="H18" s="8951"/>
      <c r="I18" s="8952"/>
      <c r="J18" s="8953"/>
      <c r="K18" s="8954"/>
      <c r="L18" s="8955"/>
      <c r="M18" s="8956"/>
      <c r="N18" s="8957"/>
      <c r="O18" s="8958"/>
      <c r="P18" s="8959"/>
      <c r="Q18" s="8960"/>
      <c r="R18" s="8961"/>
      <c r="S18" s="8962"/>
      <c r="T18" s="8963"/>
    </row>
    <row r="19">
      <c r="A19" s="8964" t="s">
        <v>98</v>
      </c>
      <c r="B19" s="8965"/>
      <c r="C19" s="8966"/>
      <c r="D19" s="8967"/>
      <c r="E19" s="8968"/>
      <c r="F19" s="8969"/>
      <c r="G19" s="8970"/>
      <c r="H19" s="8971"/>
      <c r="I19" s="8972"/>
      <c r="J19" s="8973"/>
      <c r="K19" s="8974"/>
      <c r="L19" s="8975"/>
      <c r="M19" s="8976"/>
      <c r="N19" s="8977"/>
      <c r="O19" s="8978"/>
      <c r="P19" s="8979"/>
      <c r="Q19" s="8980"/>
      <c r="R19" s="8981"/>
      <c r="S19" s="8982"/>
      <c r="T19" s="8983"/>
    </row>
    <row r="20">
      <c r="A20" s="8984"/>
      <c r="B20" s="8985"/>
      <c r="C20" s="8986"/>
      <c r="D20" s="8987"/>
      <c r="E20" s="8988"/>
      <c r="F20" s="8989"/>
      <c r="G20" s="8990"/>
      <c r="H20" s="8991"/>
      <c r="I20" s="8992"/>
      <c r="J20" s="8993"/>
      <c r="K20" s="8994"/>
      <c r="L20" s="8995"/>
      <c r="M20" s="8996"/>
      <c r="N20" s="8997"/>
      <c r="O20" s="8998"/>
      <c r="P20" s="8999"/>
      <c r="Q20" s="9000"/>
      <c r="R20" s="9001"/>
      <c r="S20" s="9002"/>
      <c r="T20" s="9003"/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6" width="15.453125" style="9004" customWidth="true"/>
  </cols>
  <sheetData>
    <row r="1">
      <c r="A1" s="9005" t="s">
        <v>104</v>
      </c>
      <c r="B1" s="9006"/>
      <c r="C1" s="9007"/>
      <c r="D1" s="9008"/>
      <c r="E1" s="9009"/>
      <c r="F1" s="9010"/>
      <c r="G1" s="9011"/>
      <c r="H1" s="9012"/>
      <c r="I1" s="9013"/>
      <c r="J1" s="9014"/>
      <c r="K1" s="9015"/>
      <c r="L1" s="9016"/>
      <c r="M1" s="9017"/>
      <c r="N1" s="9018"/>
      <c r="O1" s="9019"/>
      <c r="P1" s="9020"/>
      <c r="Q1" s="9021"/>
      <c r="R1" s="9022"/>
      <c r="S1" s="9023"/>
      <c r="T1" s="9024"/>
    </row>
    <row r="2">
      <c r="A2" s="9025"/>
      <c r="B2" s="9026" t="s">
        <v>79</v>
      </c>
      <c r="C2" s="9027" t="s">
        <v>80</v>
      </c>
      <c r="D2" s="9028" t="s">
        <v>81</v>
      </c>
      <c r="E2" s="9029"/>
      <c r="F2" s="9030"/>
      <c r="G2" s="9031"/>
      <c r="H2" s="9032"/>
      <c r="I2" s="9033"/>
      <c r="J2" s="9034"/>
      <c r="K2" s="9035"/>
      <c r="L2" s="9036"/>
      <c r="M2" s="9037"/>
      <c r="N2" s="9038"/>
      <c r="O2" s="9039"/>
      <c r="P2" s="9040"/>
      <c r="Q2" s="9041"/>
      <c r="R2" s="9042"/>
      <c r="S2" s="9043"/>
      <c r="T2" s="9044"/>
    </row>
    <row r="3">
      <c r="A3" s="9045" t="s">
        <v>82</v>
      </c>
      <c r="B3" s="9046"/>
      <c r="C3" s="9047"/>
      <c r="D3" s="9048"/>
      <c r="E3" s="9049"/>
      <c r="F3" s="9050"/>
      <c r="G3" s="9051"/>
      <c r="H3" s="9052"/>
      <c r="I3" s="9053"/>
      <c r="J3" s="9054"/>
      <c r="K3" s="9055"/>
      <c r="L3" s="9056"/>
      <c r="M3" s="9057"/>
      <c r="N3" s="9058"/>
      <c r="O3" s="9059"/>
      <c r="P3" s="9060"/>
      <c r="Q3" s="9061"/>
      <c r="R3" s="9062"/>
      <c r="S3" s="9063"/>
      <c r="T3" s="9064"/>
    </row>
    <row r="4">
      <c r="A4" s="9065" t="s">
        <v>83</v>
      </c>
      <c r="B4" s="9066">
        <v>84</v>
      </c>
      <c r="C4" s="9067">
        <v>555</v>
      </c>
      <c r="D4" s="9068">
        <v>15.135135135135137</v>
      </c>
      <c r="E4" s="9069"/>
      <c r="F4" s="9070"/>
      <c r="G4" s="9071"/>
      <c r="H4" s="9072"/>
      <c r="I4" s="9073"/>
      <c r="J4" s="9074"/>
      <c r="K4" s="9075"/>
      <c r="L4" s="9076"/>
      <c r="M4" s="9077"/>
      <c r="N4" s="9078"/>
      <c r="O4" s="9079"/>
      <c r="P4" s="9080"/>
      <c r="Q4" s="9081"/>
      <c r="R4" s="9082"/>
      <c r="S4" s="9083"/>
      <c r="T4" s="9084"/>
    </row>
    <row r="5">
      <c r="A5" s="9085" t="s">
        <v>84</v>
      </c>
      <c r="B5" s="9086">
        <v>86</v>
      </c>
      <c r="C5" s="9087">
        <v>504</v>
      </c>
      <c r="D5" s="9088">
        <v>17.063492063492063</v>
      </c>
      <c r="E5" s="9089"/>
      <c r="F5" s="9090"/>
      <c r="G5" s="9091"/>
      <c r="H5" s="9092"/>
      <c r="I5" s="9093"/>
      <c r="J5" s="9094"/>
      <c r="K5" s="9095"/>
      <c r="L5" s="9096"/>
      <c r="M5" s="9097"/>
      <c r="N5" s="9098"/>
      <c r="O5" s="9099"/>
      <c r="P5" s="9100"/>
      <c r="Q5" s="9101"/>
      <c r="R5" s="9102"/>
      <c r="S5" s="9103"/>
      <c r="T5" s="9104"/>
    </row>
    <row r="6">
      <c r="A6" s="9105" t="s">
        <v>85</v>
      </c>
      <c r="B6" s="9106">
        <v>113</v>
      </c>
      <c r="C6" s="9107">
        <v>584</v>
      </c>
      <c r="D6" s="9108">
        <v>19.349315068493152</v>
      </c>
      <c r="E6" s="9109"/>
      <c r="F6" s="9110"/>
      <c r="G6" s="9111"/>
      <c r="H6" s="9112"/>
      <c r="I6" s="9113"/>
      <c r="J6" s="9114"/>
      <c r="K6" s="9115"/>
      <c r="L6" s="9116"/>
      <c r="M6" s="9117"/>
      <c r="N6" s="9118"/>
      <c r="O6" s="9119"/>
      <c r="P6" s="9120"/>
      <c r="Q6" s="9121"/>
      <c r="R6" s="9122"/>
      <c r="S6" s="9123"/>
      <c r="T6" s="9124"/>
    </row>
    <row r="7">
      <c r="A7" s="9125" t="s">
        <v>86</v>
      </c>
      <c r="B7" s="9126">
        <v>90</v>
      </c>
      <c r="C7" s="9127">
        <v>697</v>
      </c>
      <c r="D7" s="9128">
        <v>12.91248206599713</v>
      </c>
      <c r="E7" s="9129"/>
      <c r="F7" s="9130"/>
      <c r="G7" s="9131"/>
      <c r="H7" s="9132"/>
      <c r="I7" s="9133"/>
      <c r="J7" s="9134"/>
      <c r="K7" s="9135"/>
      <c r="L7" s="9136"/>
      <c r="M7" s="9137"/>
      <c r="N7" s="9138"/>
      <c r="O7" s="9139"/>
      <c r="P7" s="9140"/>
      <c r="Q7" s="9141"/>
      <c r="R7" s="9142"/>
      <c r="S7" s="9143"/>
      <c r="T7" s="9144"/>
    </row>
    <row r="8">
      <c r="A8" s="9145" t="s">
        <v>87</v>
      </c>
      <c r="B8" s="9146">
        <v>170</v>
      </c>
      <c r="C8" s="9147">
        <v>715</v>
      </c>
      <c r="D8" s="9148">
        <v>23.776223776223777</v>
      </c>
      <c r="E8" s="9149"/>
      <c r="F8" s="9150"/>
      <c r="G8" s="9151"/>
      <c r="H8" s="9152"/>
      <c r="I8" s="9153"/>
      <c r="J8" s="9154"/>
      <c r="K8" s="9155"/>
      <c r="L8" s="9156"/>
      <c r="M8" s="9157"/>
      <c r="N8" s="9158"/>
      <c r="O8" s="9159"/>
      <c r="P8" s="9160"/>
      <c r="Q8" s="9161"/>
      <c r="R8" s="9162"/>
      <c r="S8" s="9163"/>
      <c r="T8" s="9164"/>
    </row>
    <row r="9">
      <c r="A9" s="9165" t="s">
        <v>88</v>
      </c>
      <c r="B9" s="9166">
        <v>122</v>
      </c>
      <c r="C9" s="9167">
        <v>695</v>
      </c>
      <c r="D9" s="9168">
        <v>17.553956834532375</v>
      </c>
      <c r="E9" s="9169"/>
      <c r="F9" s="9170"/>
      <c r="G9" s="9171"/>
      <c r="H9" s="9172"/>
      <c r="I9" s="9173"/>
      <c r="J9" s="9174"/>
      <c r="K9" s="9175"/>
      <c r="L9" s="9176"/>
      <c r="M9" s="9177"/>
      <c r="N9" s="9178"/>
      <c r="O9" s="9179"/>
      <c r="P9" s="9180"/>
      <c r="Q9" s="9181"/>
      <c r="R9" s="9182"/>
      <c r="S9" s="9183"/>
      <c r="T9" s="9184"/>
    </row>
    <row r="10">
      <c r="A10" s="9185" t="s">
        <v>89</v>
      </c>
      <c r="B10" s="9186">
        <v>665</v>
      </c>
      <c r="C10" s="9187">
        <v>780</v>
      </c>
      <c r="D10" s="9188">
        <v>85.256410256410248</v>
      </c>
      <c r="E10" s="9189"/>
      <c r="F10" s="9190"/>
      <c r="G10" s="9191"/>
      <c r="H10" s="9192"/>
      <c r="I10" s="9193"/>
      <c r="J10" s="9194"/>
      <c r="K10" s="9195"/>
      <c r="L10" s="9196"/>
      <c r="M10" s="9197"/>
      <c r="N10" s="9198"/>
      <c r="O10" s="9199"/>
      <c r="P10" s="9200"/>
      <c r="Q10" s="9201"/>
      <c r="R10" s="9202"/>
      <c r="S10" s="9203"/>
      <c r="T10" s="9204"/>
    </row>
    <row r="11">
      <c r="A11" s="9205" t="s">
        <v>90</v>
      </c>
      <c r="B11" s="9206">
        <v>671</v>
      </c>
      <c r="C11" s="9207">
        <v>822</v>
      </c>
      <c r="D11" s="9208">
        <v>81.630170316301701</v>
      </c>
      <c r="E11" s="9209"/>
      <c r="F11" s="9210"/>
      <c r="G11" s="9211"/>
      <c r="H11" s="9212"/>
      <c r="I11" s="9213"/>
      <c r="J11" s="9214"/>
      <c r="K11" s="9215"/>
      <c r="L11" s="9216"/>
      <c r="M11" s="9217"/>
      <c r="N11" s="9218"/>
      <c r="O11" s="9219"/>
      <c r="P11" s="9220"/>
      <c r="Q11" s="9221"/>
      <c r="R11" s="9222"/>
      <c r="S11" s="9223"/>
      <c r="T11" s="9224"/>
    </row>
    <row r="12">
      <c r="A12" s="9225" t="s">
        <v>91</v>
      </c>
      <c r="B12" s="9226">
        <v>247</v>
      </c>
      <c r="C12" s="9227">
        <v>807</v>
      </c>
      <c r="D12" s="9228">
        <v>30.607187112763324</v>
      </c>
      <c r="E12" s="9229"/>
      <c r="F12" s="9230"/>
      <c r="G12" s="9231"/>
      <c r="H12" s="9232"/>
      <c r="I12" s="9233"/>
      <c r="J12" s="9234"/>
      <c r="K12" s="9235"/>
      <c r="L12" s="9236"/>
      <c r="M12" s="9237"/>
      <c r="N12" s="9238"/>
      <c r="O12" s="9239"/>
      <c r="P12" s="9240"/>
      <c r="Q12" s="9241"/>
      <c r="R12" s="9242"/>
      <c r="S12" s="9243"/>
      <c r="T12" s="9244"/>
    </row>
    <row r="13">
      <c r="A13" s="9245" t="s">
        <v>92</v>
      </c>
      <c r="B13" s="9246">
        <v>302</v>
      </c>
      <c r="C13" s="9247">
        <v>933</v>
      </c>
      <c r="D13" s="9248">
        <v>32.368703108252952</v>
      </c>
      <c r="E13" s="9249"/>
      <c r="F13" s="9250"/>
      <c r="G13" s="9251"/>
      <c r="H13" s="9252"/>
      <c r="I13" s="9253"/>
      <c r="J13" s="9254"/>
      <c r="K13" s="9255"/>
      <c r="L13" s="9256"/>
      <c r="M13" s="9257"/>
      <c r="N13" s="9258"/>
      <c r="O13" s="9259"/>
      <c r="P13" s="9260"/>
      <c r="Q13" s="9261"/>
      <c r="R13" s="9262"/>
      <c r="S13" s="9263"/>
      <c r="T13" s="9264"/>
    </row>
    <row r="14">
      <c r="A14" s="9265" t="s">
        <v>93</v>
      </c>
      <c r="B14" s="9266">
        <v>294</v>
      </c>
      <c r="C14" s="9267">
        <v>854</v>
      </c>
      <c r="D14" s="9268">
        <v>34.42622950819672</v>
      </c>
      <c r="E14" s="9269"/>
      <c r="F14" s="9270"/>
      <c r="G14" s="9271"/>
      <c r="H14" s="9272"/>
      <c r="I14" s="9273"/>
      <c r="J14" s="9274"/>
      <c r="K14" s="9275"/>
      <c r="L14" s="9276"/>
      <c r="M14" s="9277"/>
      <c r="N14" s="9278"/>
      <c r="O14" s="9279"/>
      <c r="P14" s="9280"/>
      <c r="Q14" s="9281"/>
      <c r="R14" s="9282"/>
      <c r="S14" s="9283"/>
      <c r="T14" s="9284"/>
    </row>
    <row r="15">
      <c r="A15" s="9285" t="s">
        <v>94</v>
      </c>
      <c r="B15" s="9286">
        <v>235</v>
      </c>
      <c r="C15" s="9287">
        <v>730</v>
      </c>
      <c r="D15" s="9288">
        <v>32.19178082191781</v>
      </c>
      <c r="E15" s="9289"/>
      <c r="F15" s="9290"/>
      <c r="G15" s="9291"/>
      <c r="H15" s="9292"/>
      <c r="I15" s="9293"/>
      <c r="J15" s="9294"/>
      <c r="K15" s="9295"/>
      <c r="L15" s="9296"/>
      <c r="M15" s="9297"/>
      <c r="N15" s="9298"/>
      <c r="O15" s="9299"/>
      <c r="P15" s="9300"/>
      <c r="Q15" s="9301"/>
      <c r="R15" s="9302"/>
      <c r="S15" s="9303"/>
      <c r="T15" s="9304"/>
    </row>
    <row r="16">
      <c r="A16" s="9305" t="s">
        <v>95</v>
      </c>
      <c r="B16" s="9306">
        <v>104</v>
      </c>
      <c r="C16" s="9307">
        <v>809</v>
      </c>
      <c r="D16" s="9308">
        <v>12.855377008652658</v>
      </c>
      <c r="E16" s="9309"/>
      <c r="F16" s="9310"/>
      <c r="G16" s="9311"/>
      <c r="H16" s="9312"/>
      <c r="I16" s="9313"/>
      <c r="J16" s="9314"/>
      <c r="K16" s="9315"/>
      <c r="L16" s="9316"/>
      <c r="M16" s="9317"/>
      <c r="N16" s="9318"/>
      <c r="O16" s="9319"/>
      <c r="P16" s="9320"/>
      <c r="Q16" s="9321"/>
      <c r="R16" s="9322"/>
      <c r="S16" s="9323"/>
      <c r="T16" s="9324"/>
    </row>
    <row r="17">
      <c r="A17" s="9325" t="s">
        <v>96</v>
      </c>
      <c r="B17" s="9326">
        <v>226</v>
      </c>
      <c r="C17" s="9327">
        <v>870</v>
      </c>
      <c r="D17" s="9328">
        <v>25.977011494252871</v>
      </c>
      <c r="E17" s="9329"/>
      <c r="F17" s="9330"/>
      <c r="G17" s="9331"/>
      <c r="H17" s="9332"/>
      <c r="I17" s="9333"/>
      <c r="J17" s="9334"/>
      <c r="K17" s="9335"/>
      <c r="L17" s="9336"/>
      <c r="M17" s="9337"/>
      <c r="N17" s="9338"/>
      <c r="O17" s="9339"/>
      <c r="P17" s="9340"/>
      <c r="Q17" s="9341"/>
      <c r="R17" s="9342"/>
      <c r="S17" s="9343"/>
      <c r="T17" s="9344"/>
    </row>
    <row r="18">
      <c r="A18" s="9345" t="s">
        <v>97</v>
      </c>
      <c r="B18" s="9346">
        <v>3409</v>
      </c>
      <c r="C18" s="9347">
        <v>10355</v>
      </c>
      <c r="D18" s="9348">
        <v>32.921294060840175</v>
      </c>
      <c r="E18" s="9349"/>
      <c r="F18" s="9350"/>
      <c r="G18" s="9351"/>
      <c r="H18" s="9352"/>
      <c r="I18" s="9353"/>
      <c r="J18" s="9354"/>
      <c r="K18" s="9355"/>
      <c r="L18" s="9356"/>
      <c r="M18" s="9357"/>
      <c r="N18" s="9358"/>
      <c r="O18" s="9359"/>
      <c r="P18" s="9360"/>
      <c r="Q18" s="9361"/>
      <c r="R18" s="9362"/>
      <c r="S18" s="9363"/>
      <c r="T18" s="9364"/>
    </row>
    <row r="19">
      <c r="A19" s="9365" t="s">
        <v>98</v>
      </c>
      <c r="B19" s="9366"/>
      <c r="C19" s="9367"/>
      <c r="D19" s="9368"/>
      <c r="E19" s="9369"/>
      <c r="F19" s="9370"/>
      <c r="G19" s="9371"/>
      <c r="H19" s="9372"/>
      <c r="I19" s="9373"/>
      <c r="J19" s="9374"/>
      <c r="K19" s="9375"/>
      <c r="L19" s="9376"/>
      <c r="M19" s="9377"/>
      <c r="N19" s="9378"/>
      <c r="O19" s="9379"/>
      <c r="P19" s="9380"/>
      <c r="Q19" s="9381"/>
      <c r="R19" s="9382"/>
      <c r="S19" s="9383"/>
      <c r="T19" s="9384"/>
    </row>
    <row r="20">
      <c r="A20" s="9385" t="s">
        <v>105</v>
      </c>
      <c r="B20" s="9386"/>
      <c r="C20" s="9387"/>
      <c r="D20" s="9388"/>
      <c r="E20" s="9389"/>
      <c r="F20" s="9390"/>
      <c r="G20" s="9391"/>
      <c r="H20" s="9392"/>
      <c r="I20" s="9393"/>
      <c r="J20" s="9394"/>
      <c r="K20" s="9395"/>
      <c r="L20" s="9396"/>
      <c r="M20" s="9397"/>
      <c r="N20" s="9398"/>
      <c r="O20" s="9399"/>
      <c r="P20" s="9400"/>
      <c r="Q20" s="9401"/>
      <c r="R20" s="9402"/>
      <c r="S20" s="9403"/>
      <c r="T20" s="9404"/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6" width="15.453125" style="9405" customWidth="true"/>
  </cols>
  <sheetData>
    <row r="1">
      <c r="A1" s="9406" t="s">
        <v>106</v>
      </c>
      <c r="B1" s="9407"/>
      <c r="C1" s="9408"/>
      <c r="D1" s="9409"/>
      <c r="E1" s="9410"/>
      <c r="F1" s="9411"/>
      <c r="G1" s="9412"/>
      <c r="H1" s="9413"/>
      <c r="I1" s="9414"/>
      <c r="J1" s="9415"/>
      <c r="K1" s="9416"/>
      <c r="L1" s="9417"/>
      <c r="M1" s="9418"/>
      <c r="N1" s="9419"/>
      <c r="O1" s="9420"/>
      <c r="P1" s="9421"/>
      <c r="Q1" s="9422"/>
      <c r="R1" s="9423"/>
      <c r="S1" s="9424"/>
      <c r="T1" s="9425"/>
    </row>
    <row r="2">
      <c r="A2" s="9426"/>
      <c r="B2" s="9427" t="s">
        <v>79</v>
      </c>
      <c r="C2" s="9428" t="s">
        <v>80</v>
      </c>
      <c r="D2" s="9429" t="s">
        <v>81</v>
      </c>
      <c r="E2" s="9430"/>
      <c r="F2" s="9431"/>
      <c r="G2" s="9432"/>
      <c r="H2" s="9433"/>
      <c r="I2" s="9434"/>
      <c r="J2" s="9435"/>
      <c r="K2" s="9436"/>
      <c r="L2" s="9437"/>
      <c r="M2" s="9438"/>
      <c r="N2" s="9439"/>
      <c r="O2" s="9440"/>
      <c r="P2" s="9441"/>
      <c r="Q2" s="9442"/>
      <c r="R2" s="9443"/>
      <c r="S2" s="9444"/>
      <c r="T2" s="9445"/>
    </row>
    <row r="3">
      <c r="A3" s="9446" t="s">
        <v>82</v>
      </c>
      <c r="B3" s="9447"/>
      <c r="C3" s="9448"/>
      <c r="D3" s="9449"/>
      <c r="E3" s="9450"/>
      <c r="F3" s="9451"/>
      <c r="G3" s="9452"/>
      <c r="H3" s="9453"/>
      <c r="I3" s="9454"/>
      <c r="J3" s="9455"/>
      <c r="K3" s="9456"/>
      <c r="L3" s="9457"/>
      <c r="M3" s="9458"/>
      <c r="N3" s="9459"/>
      <c r="O3" s="9460"/>
      <c r="P3" s="9461"/>
      <c r="Q3" s="9462"/>
      <c r="R3" s="9463"/>
      <c r="S3" s="9464"/>
      <c r="T3" s="9465"/>
    </row>
    <row r="4">
      <c r="A4" s="9466" t="s">
        <v>83</v>
      </c>
      <c r="B4" s="9467">
        <v>538</v>
      </c>
      <c r="C4" s="9468">
        <v>555</v>
      </c>
      <c r="D4" s="9469">
        <v>96.936936936936931</v>
      </c>
      <c r="E4" s="9470"/>
      <c r="F4" s="9471"/>
      <c r="G4" s="9472"/>
      <c r="H4" s="9473"/>
      <c r="I4" s="9474"/>
      <c r="J4" s="9475"/>
      <c r="K4" s="9476"/>
      <c r="L4" s="9477"/>
      <c r="M4" s="9478"/>
      <c r="N4" s="9479"/>
      <c r="O4" s="9480"/>
      <c r="P4" s="9481"/>
      <c r="Q4" s="9482"/>
      <c r="R4" s="9483"/>
      <c r="S4" s="9484"/>
      <c r="T4" s="9485"/>
    </row>
    <row r="5">
      <c r="A5" s="9486" t="s">
        <v>84</v>
      </c>
      <c r="B5" s="9487">
        <v>486</v>
      </c>
      <c r="C5" s="9488">
        <v>504</v>
      </c>
      <c r="D5" s="9489">
        <v>96.428571428571431</v>
      </c>
      <c r="E5" s="9490"/>
      <c r="F5" s="9491"/>
      <c r="G5" s="9492"/>
      <c r="H5" s="9493"/>
      <c r="I5" s="9494"/>
      <c r="J5" s="9495"/>
      <c r="K5" s="9496"/>
      <c r="L5" s="9497"/>
      <c r="M5" s="9498"/>
      <c r="N5" s="9499"/>
      <c r="O5" s="9500"/>
      <c r="P5" s="9501"/>
      <c r="Q5" s="9502"/>
      <c r="R5" s="9503"/>
      <c r="S5" s="9504"/>
      <c r="T5" s="9505"/>
    </row>
    <row r="6">
      <c r="A6" s="9506" t="s">
        <v>85</v>
      </c>
      <c r="B6" s="9507">
        <v>559</v>
      </c>
      <c r="C6" s="9508">
        <v>584</v>
      </c>
      <c r="D6" s="9509">
        <v>95.719178082191775</v>
      </c>
      <c r="E6" s="9510"/>
      <c r="F6" s="9511"/>
      <c r="G6" s="9512"/>
      <c r="H6" s="9513"/>
      <c r="I6" s="9514"/>
      <c r="J6" s="9515"/>
      <c r="K6" s="9516"/>
      <c r="L6" s="9517"/>
      <c r="M6" s="9518"/>
      <c r="N6" s="9519"/>
      <c r="O6" s="9520"/>
      <c r="P6" s="9521"/>
      <c r="Q6" s="9522"/>
      <c r="R6" s="9523"/>
      <c r="S6" s="9524"/>
      <c r="T6" s="9525"/>
    </row>
    <row r="7">
      <c r="A7" s="9526" t="s">
        <v>86</v>
      </c>
      <c r="B7" s="9527">
        <v>672</v>
      </c>
      <c r="C7" s="9528">
        <v>697</v>
      </c>
      <c r="D7" s="9529">
        <v>96.413199426111902</v>
      </c>
      <c r="E7" s="9530"/>
      <c r="F7" s="9531"/>
      <c r="G7" s="9532"/>
      <c r="H7" s="9533"/>
      <c r="I7" s="9534"/>
      <c r="J7" s="9535"/>
      <c r="K7" s="9536"/>
      <c r="L7" s="9537"/>
      <c r="M7" s="9538"/>
      <c r="N7" s="9539"/>
      <c r="O7" s="9540"/>
      <c r="P7" s="9541"/>
      <c r="Q7" s="9542"/>
      <c r="R7" s="9543"/>
      <c r="S7" s="9544"/>
      <c r="T7" s="9545"/>
    </row>
    <row r="8">
      <c r="A8" s="9546" t="s">
        <v>87</v>
      </c>
      <c r="B8" s="9547">
        <v>683</v>
      </c>
      <c r="C8" s="9548">
        <v>715</v>
      </c>
      <c r="D8" s="9549">
        <v>95.524475524475534</v>
      </c>
      <c r="E8" s="9550"/>
      <c r="F8" s="9551"/>
      <c r="G8" s="9552"/>
      <c r="H8" s="9553"/>
      <c r="I8" s="9554"/>
      <c r="J8" s="9555"/>
      <c r="K8" s="9556"/>
      <c r="L8" s="9557"/>
      <c r="M8" s="9558"/>
      <c r="N8" s="9559"/>
      <c r="O8" s="9560"/>
      <c r="P8" s="9561"/>
      <c r="Q8" s="9562"/>
      <c r="R8" s="9563"/>
      <c r="S8" s="9564"/>
      <c r="T8" s="9565"/>
    </row>
    <row r="9">
      <c r="A9" s="9566" t="s">
        <v>88</v>
      </c>
      <c r="B9" s="9567">
        <v>644</v>
      </c>
      <c r="C9" s="9568">
        <v>695</v>
      </c>
      <c r="D9" s="9569">
        <v>92.661870503597115</v>
      </c>
      <c r="E9" s="9570"/>
      <c r="F9" s="9571"/>
      <c r="G9" s="9572"/>
      <c r="H9" s="9573"/>
      <c r="I9" s="9574"/>
      <c r="J9" s="9575"/>
      <c r="K9" s="9576"/>
      <c r="L9" s="9577"/>
      <c r="M9" s="9578"/>
      <c r="N9" s="9579"/>
      <c r="O9" s="9580"/>
      <c r="P9" s="9581"/>
      <c r="Q9" s="9582"/>
      <c r="R9" s="9583"/>
      <c r="S9" s="9584"/>
      <c r="T9" s="9585"/>
    </row>
    <row r="10">
      <c r="A10" s="9586" t="s">
        <v>89</v>
      </c>
      <c r="B10" s="9587">
        <v>724</v>
      </c>
      <c r="C10" s="9588">
        <v>780</v>
      </c>
      <c r="D10" s="9589">
        <v>92.820512820512818</v>
      </c>
      <c r="E10" s="9590"/>
      <c r="F10" s="9591"/>
      <c r="G10" s="9592"/>
      <c r="H10" s="9593"/>
      <c r="I10" s="9594"/>
      <c r="J10" s="9595"/>
      <c r="K10" s="9596"/>
      <c r="L10" s="9597"/>
      <c r="M10" s="9598"/>
      <c r="N10" s="9599"/>
      <c r="O10" s="9600"/>
      <c r="P10" s="9601"/>
      <c r="Q10" s="9602"/>
      <c r="R10" s="9603"/>
      <c r="S10" s="9604"/>
      <c r="T10" s="9605"/>
    </row>
    <row r="11">
      <c r="A11" s="9606" t="s">
        <v>90</v>
      </c>
      <c r="B11" s="9607">
        <v>753</v>
      </c>
      <c r="C11" s="9608">
        <v>822</v>
      </c>
      <c r="D11" s="9609">
        <v>91.605839416058402</v>
      </c>
      <c r="E11" s="9610"/>
      <c r="F11" s="9611"/>
      <c r="G11" s="9612"/>
      <c r="H11" s="9613"/>
      <c r="I11" s="9614"/>
      <c r="J11" s="9615"/>
      <c r="K11" s="9616"/>
      <c r="L11" s="9617"/>
      <c r="M11" s="9618"/>
      <c r="N11" s="9619"/>
      <c r="O11" s="9620"/>
      <c r="P11" s="9621"/>
      <c r="Q11" s="9622"/>
      <c r="R11" s="9623"/>
      <c r="S11" s="9624"/>
      <c r="T11" s="9625"/>
    </row>
    <row r="12">
      <c r="A12" s="9626" t="s">
        <v>91</v>
      </c>
      <c r="B12" s="9627">
        <v>289</v>
      </c>
      <c r="C12" s="9628">
        <v>807</v>
      </c>
      <c r="D12" s="9629">
        <v>35.811648079306075</v>
      </c>
      <c r="E12" s="9630"/>
      <c r="F12" s="9631"/>
      <c r="G12" s="9632"/>
      <c r="H12" s="9633"/>
      <c r="I12" s="9634"/>
      <c r="J12" s="9635"/>
      <c r="K12" s="9636"/>
      <c r="L12" s="9637"/>
      <c r="M12" s="9638"/>
      <c r="N12" s="9639"/>
      <c r="O12" s="9640"/>
      <c r="P12" s="9641"/>
      <c r="Q12" s="9642"/>
      <c r="R12" s="9643"/>
      <c r="S12" s="9644"/>
      <c r="T12" s="9645"/>
    </row>
    <row r="13">
      <c r="A13" s="9646" t="s">
        <v>92</v>
      </c>
      <c r="B13" s="9647">
        <v>487</v>
      </c>
      <c r="C13" s="9648">
        <v>933</v>
      </c>
      <c r="D13" s="9649">
        <v>52.197213290460873</v>
      </c>
      <c r="E13" s="9650"/>
      <c r="F13" s="9651"/>
      <c r="G13" s="9652"/>
      <c r="H13" s="9653"/>
      <c r="I13" s="9654"/>
      <c r="J13" s="9655"/>
      <c r="K13" s="9656"/>
      <c r="L13" s="9657"/>
      <c r="M13" s="9658"/>
      <c r="N13" s="9659"/>
      <c r="O13" s="9660"/>
      <c r="P13" s="9661"/>
      <c r="Q13" s="9662"/>
      <c r="R13" s="9663"/>
      <c r="S13" s="9664"/>
      <c r="T13" s="9665"/>
    </row>
    <row r="14">
      <c r="A14" s="9666" t="s">
        <v>93</v>
      </c>
      <c r="B14" s="9667">
        <v>347</v>
      </c>
      <c r="C14" s="9668">
        <v>854</v>
      </c>
      <c r="D14" s="9669">
        <v>40.632318501170964</v>
      </c>
      <c r="E14" s="9670"/>
      <c r="F14" s="9671"/>
      <c r="G14" s="9672"/>
      <c r="H14" s="9673"/>
      <c r="I14" s="9674"/>
      <c r="J14" s="9675"/>
      <c r="K14" s="9676"/>
      <c r="L14" s="9677"/>
      <c r="M14" s="9678"/>
      <c r="N14" s="9679"/>
      <c r="O14" s="9680"/>
      <c r="P14" s="9681"/>
      <c r="Q14" s="9682"/>
      <c r="R14" s="9683"/>
      <c r="S14" s="9684"/>
      <c r="T14" s="9685"/>
    </row>
    <row r="15">
      <c r="A15" s="9686" t="s">
        <v>94</v>
      </c>
      <c r="B15" s="9687">
        <v>280</v>
      </c>
      <c r="C15" s="9688">
        <v>730</v>
      </c>
      <c r="D15" s="9689">
        <v>38.356164383561641</v>
      </c>
      <c r="E15" s="9690"/>
      <c r="F15" s="9691"/>
      <c r="G15" s="9692"/>
      <c r="H15" s="9693"/>
      <c r="I15" s="9694"/>
      <c r="J15" s="9695"/>
      <c r="K15" s="9696"/>
      <c r="L15" s="9697"/>
      <c r="M15" s="9698"/>
      <c r="N15" s="9699"/>
      <c r="O15" s="9700"/>
      <c r="P15" s="9701"/>
      <c r="Q15" s="9702"/>
      <c r="R15" s="9703"/>
      <c r="S15" s="9704"/>
      <c r="T15" s="9705"/>
    </row>
    <row r="16">
      <c r="A16" s="9706" t="s">
        <v>95</v>
      </c>
      <c r="B16" s="9707">
        <v>104</v>
      </c>
      <c r="C16" s="9708">
        <v>809</v>
      </c>
      <c r="D16" s="9709">
        <v>12.855377008652658</v>
      </c>
      <c r="E16" s="9710"/>
      <c r="F16" s="9711"/>
      <c r="G16" s="9712"/>
      <c r="H16" s="9713"/>
      <c r="I16" s="9714"/>
      <c r="J16" s="9715"/>
      <c r="K16" s="9716"/>
      <c r="L16" s="9717"/>
      <c r="M16" s="9718"/>
      <c r="N16" s="9719"/>
      <c r="O16" s="9720"/>
      <c r="P16" s="9721"/>
      <c r="Q16" s="9722"/>
      <c r="R16" s="9723"/>
      <c r="S16" s="9724"/>
      <c r="T16" s="9725"/>
    </row>
    <row r="17">
      <c r="A17" s="9726" t="s">
        <v>96</v>
      </c>
      <c r="B17" s="9727">
        <v>227</v>
      </c>
      <c r="C17" s="9728">
        <v>870</v>
      </c>
      <c r="D17" s="9729">
        <v>26.091954022988507</v>
      </c>
      <c r="E17" s="9730"/>
      <c r="F17" s="9731"/>
      <c r="G17" s="9732"/>
      <c r="H17" s="9733"/>
      <c r="I17" s="9734"/>
      <c r="J17" s="9735"/>
      <c r="K17" s="9736"/>
      <c r="L17" s="9737"/>
      <c r="M17" s="9738"/>
      <c r="N17" s="9739"/>
      <c r="O17" s="9740"/>
      <c r="P17" s="9741"/>
      <c r="Q17" s="9742"/>
      <c r="R17" s="9743"/>
      <c r="S17" s="9744"/>
      <c r="T17" s="9745"/>
    </row>
    <row r="18">
      <c r="A18" s="9746" t="s">
        <v>97</v>
      </c>
      <c r="B18" s="9747">
        <v>6793</v>
      </c>
      <c r="C18" s="9748">
        <v>10355</v>
      </c>
      <c r="D18" s="9749">
        <v>65.601158860453893</v>
      </c>
      <c r="E18" s="9750"/>
      <c r="F18" s="9751"/>
      <c r="G18" s="9752"/>
      <c r="H18" s="9753"/>
      <c r="I18" s="9754"/>
      <c r="J18" s="9755"/>
      <c r="K18" s="9756"/>
      <c r="L18" s="9757"/>
      <c r="M18" s="9758"/>
      <c r="N18" s="9759"/>
      <c r="O18" s="9760"/>
      <c r="P18" s="9761"/>
      <c r="Q18" s="9762"/>
      <c r="R18" s="9763"/>
      <c r="S18" s="9764"/>
      <c r="T18" s="9765"/>
    </row>
    <row r="19">
      <c r="A19" s="9766" t="s">
        <v>98</v>
      </c>
      <c r="B19" s="9767"/>
      <c r="C19" s="9768"/>
      <c r="D19" s="9769"/>
      <c r="E19" s="9770"/>
      <c r="F19" s="9771"/>
      <c r="G19" s="9772"/>
      <c r="H19" s="9773"/>
      <c r="I19" s="9774"/>
      <c r="J19" s="9775"/>
      <c r="K19" s="9776"/>
      <c r="L19" s="9777"/>
      <c r="M19" s="9778"/>
      <c r="N19" s="9779"/>
      <c r="O19" s="9780"/>
      <c r="P19" s="9781"/>
      <c r="Q19" s="9782"/>
      <c r="R19" s="9783"/>
      <c r="S19" s="9784"/>
      <c r="T19" s="9785"/>
    </row>
    <row r="20">
      <c r="A20" s="9786" t="s">
        <v>105</v>
      </c>
      <c r="B20" s="9787"/>
      <c r="C20" s="9788"/>
      <c r="D20" s="9789"/>
      <c r="E20" s="9790"/>
      <c r="F20" s="9791"/>
      <c r="G20" s="9792"/>
      <c r="H20" s="9793"/>
      <c r="I20" s="9794"/>
      <c r="J20" s="9795"/>
      <c r="K20" s="9796"/>
      <c r="L20" s="9797"/>
      <c r="M20" s="9798"/>
      <c r="N20" s="9799"/>
      <c r="O20" s="9800"/>
      <c r="P20" s="9801"/>
      <c r="Q20" s="9802"/>
      <c r="R20" s="9803"/>
      <c r="S20" s="9804"/>
      <c r="T20" s="9805"/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6" width="15.453125" style="9806" customWidth="true"/>
  </cols>
  <sheetData>
    <row r="1">
      <c r="A1" s="9807" t="s">
        <v>107</v>
      </c>
      <c r="B1" s="9808"/>
      <c r="C1" s="9809"/>
      <c r="D1" s="9810"/>
      <c r="E1" s="9811"/>
      <c r="F1" s="9812"/>
      <c r="G1" s="9813"/>
      <c r="H1" s="9814"/>
      <c r="I1" s="9815"/>
      <c r="J1" s="9816"/>
      <c r="K1" s="9817"/>
      <c r="L1" s="9818"/>
      <c r="M1" s="9819"/>
      <c r="N1" s="9820"/>
      <c r="O1" s="9821"/>
      <c r="P1" s="9822"/>
      <c r="Q1" s="9823"/>
      <c r="R1" s="9824"/>
      <c r="S1" s="9825"/>
      <c r="T1" s="9826"/>
    </row>
    <row r="2">
      <c r="A2" s="9827"/>
      <c r="B2" s="9828" t="s">
        <v>79</v>
      </c>
      <c r="C2" s="9829" t="s">
        <v>80</v>
      </c>
      <c r="D2" s="9830" t="s">
        <v>81</v>
      </c>
      <c r="E2" s="9831"/>
      <c r="F2" s="9832"/>
      <c r="G2" s="9833"/>
      <c r="H2" s="9834"/>
      <c r="I2" s="9835"/>
      <c r="J2" s="9836"/>
      <c r="K2" s="9837"/>
      <c r="L2" s="9838"/>
      <c r="M2" s="9839"/>
      <c r="N2" s="9840"/>
      <c r="O2" s="9841"/>
      <c r="P2" s="9842"/>
      <c r="Q2" s="9843"/>
      <c r="R2" s="9844"/>
      <c r="S2" s="9845"/>
      <c r="T2" s="9846"/>
    </row>
    <row r="3">
      <c r="A3" s="9847" t="s">
        <v>82</v>
      </c>
      <c r="B3" s="9848"/>
      <c r="C3" s="9849"/>
      <c r="D3" s="9850"/>
      <c r="E3" s="9851"/>
      <c r="F3" s="9852"/>
      <c r="G3" s="9853"/>
      <c r="H3" s="9854"/>
      <c r="I3" s="9855"/>
      <c r="J3" s="9856"/>
      <c r="K3" s="9857"/>
      <c r="L3" s="9858"/>
      <c r="M3" s="9859"/>
      <c r="N3" s="9860"/>
      <c r="O3" s="9861"/>
      <c r="P3" s="9862"/>
      <c r="Q3" s="9863"/>
      <c r="R3" s="9864"/>
      <c r="S3" s="9865"/>
      <c r="T3" s="9866"/>
    </row>
    <row r="4">
      <c r="A4" s="9867" t="s">
        <v>83</v>
      </c>
      <c r="B4" s="9868">
        <v>84</v>
      </c>
      <c r="C4" s="9869">
        <v>555</v>
      </c>
      <c r="D4" s="9870">
        <v>15.135135135135137</v>
      </c>
      <c r="E4" s="9871"/>
      <c r="F4" s="9872"/>
      <c r="G4" s="9873"/>
      <c r="H4" s="9874"/>
      <c r="I4" s="9875"/>
      <c r="J4" s="9876"/>
      <c r="K4" s="9877"/>
      <c r="L4" s="9878"/>
      <c r="M4" s="9879"/>
      <c r="N4" s="9880"/>
      <c r="O4" s="9881"/>
      <c r="P4" s="9882"/>
      <c r="Q4" s="9883"/>
      <c r="R4" s="9884"/>
      <c r="S4" s="9885"/>
      <c r="T4" s="9886"/>
    </row>
    <row r="5">
      <c r="A5" s="9887" t="s">
        <v>84</v>
      </c>
      <c r="B5" s="9888">
        <v>86</v>
      </c>
      <c r="C5" s="9889">
        <v>504</v>
      </c>
      <c r="D5" s="9890">
        <v>17.063492063492063</v>
      </c>
      <c r="E5" s="9891"/>
      <c r="F5" s="9892"/>
      <c r="G5" s="9893"/>
      <c r="H5" s="9894"/>
      <c r="I5" s="9895"/>
      <c r="J5" s="9896"/>
      <c r="K5" s="9897"/>
      <c r="L5" s="9898"/>
      <c r="M5" s="9899"/>
      <c r="N5" s="9900"/>
      <c r="O5" s="9901"/>
      <c r="P5" s="9902"/>
      <c r="Q5" s="9903"/>
      <c r="R5" s="9904"/>
      <c r="S5" s="9905"/>
      <c r="T5" s="9906"/>
    </row>
    <row r="6">
      <c r="A6" s="9907" t="s">
        <v>85</v>
      </c>
      <c r="B6" s="9908">
        <v>113</v>
      </c>
      <c r="C6" s="9909">
        <v>584</v>
      </c>
      <c r="D6" s="9910">
        <v>19.349315068493152</v>
      </c>
      <c r="E6" s="9911"/>
      <c r="F6" s="9912"/>
      <c r="G6" s="9913"/>
      <c r="H6" s="9914"/>
      <c r="I6" s="9915"/>
      <c r="J6" s="9916"/>
      <c r="K6" s="9917"/>
      <c r="L6" s="9918"/>
      <c r="M6" s="9919"/>
      <c r="N6" s="9920"/>
      <c r="O6" s="9921"/>
      <c r="P6" s="9922"/>
      <c r="Q6" s="9923"/>
      <c r="R6" s="9924"/>
      <c r="S6" s="9925"/>
      <c r="T6" s="9926"/>
    </row>
    <row r="7">
      <c r="A7" s="9927" t="s">
        <v>86</v>
      </c>
      <c r="B7" s="9928">
        <v>90</v>
      </c>
      <c r="C7" s="9929">
        <v>697</v>
      </c>
      <c r="D7" s="9930">
        <v>12.91248206599713</v>
      </c>
      <c r="E7" s="9931"/>
      <c r="F7" s="9932"/>
      <c r="G7" s="9933"/>
      <c r="H7" s="9934"/>
      <c r="I7" s="9935"/>
      <c r="J7" s="9936"/>
      <c r="K7" s="9937"/>
      <c r="L7" s="9938"/>
      <c r="M7" s="9939"/>
      <c r="N7" s="9940"/>
      <c r="O7" s="9941"/>
      <c r="P7" s="9942"/>
      <c r="Q7" s="9943"/>
      <c r="R7" s="9944"/>
      <c r="S7" s="9945"/>
      <c r="T7" s="9946"/>
    </row>
    <row r="8">
      <c r="A8" s="9947" t="s">
        <v>87</v>
      </c>
      <c r="B8" s="9948">
        <v>170</v>
      </c>
      <c r="C8" s="9949">
        <v>715</v>
      </c>
      <c r="D8" s="9950">
        <v>23.776223776223777</v>
      </c>
      <c r="E8" s="9951"/>
      <c r="F8" s="9952"/>
      <c r="G8" s="9953"/>
      <c r="H8" s="9954"/>
      <c r="I8" s="9955"/>
      <c r="J8" s="9956"/>
      <c r="K8" s="9957"/>
      <c r="L8" s="9958"/>
      <c r="M8" s="9959"/>
      <c r="N8" s="9960"/>
      <c r="O8" s="9961"/>
      <c r="P8" s="9962"/>
      <c r="Q8" s="9963"/>
      <c r="R8" s="9964"/>
      <c r="S8" s="9965"/>
      <c r="T8" s="9966"/>
    </row>
    <row r="9">
      <c r="A9" s="9967" t="s">
        <v>88</v>
      </c>
      <c r="B9" s="9968">
        <v>122</v>
      </c>
      <c r="C9" s="9969">
        <v>695</v>
      </c>
      <c r="D9" s="9970">
        <v>17.553956834532375</v>
      </c>
      <c r="E9" s="9971"/>
      <c r="F9" s="9972"/>
      <c r="G9" s="9973"/>
      <c r="H9" s="9974"/>
      <c r="I9" s="9975"/>
      <c r="J9" s="9976"/>
      <c r="K9" s="9977"/>
      <c r="L9" s="9978"/>
      <c r="M9" s="9979"/>
      <c r="N9" s="9980"/>
      <c r="O9" s="9981"/>
      <c r="P9" s="9982"/>
      <c r="Q9" s="9983"/>
      <c r="R9" s="9984"/>
      <c r="S9" s="9985"/>
      <c r="T9" s="9986"/>
    </row>
    <row r="10">
      <c r="A10" s="9987" t="s">
        <v>89</v>
      </c>
      <c r="B10" s="9988">
        <v>665</v>
      </c>
      <c r="C10" s="9989">
        <v>780</v>
      </c>
      <c r="D10" s="9990">
        <v>85.256410256410248</v>
      </c>
      <c r="E10" s="9991"/>
      <c r="F10" s="9992"/>
      <c r="G10" s="9993"/>
      <c r="H10" s="9994"/>
      <c r="I10" s="9995"/>
      <c r="J10" s="9996"/>
      <c r="K10" s="9997"/>
      <c r="L10" s="9998"/>
      <c r="M10" s="9999"/>
      <c r="N10" s="10000"/>
      <c r="O10" s="10001"/>
      <c r="P10" s="10002"/>
      <c r="Q10" s="10003"/>
      <c r="R10" s="10004"/>
      <c r="S10" s="10005"/>
      <c r="T10" s="10006"/>
    </row>
    <row r="11">
      <c r="A11" s="10007" t="s">
        <v>90</v>
      </c>
      <c r="B11" s="10008">
        <v>671</v>
      </c>
      <c r="C11" s="10009">
        <v>822</v>
      </c>
      <c r="D11" s="10010">
        <v>81.630170316301701</v>
      </c>
      <c r="E11" s="10011"/>
      <c r="F11" s="10012"/>
      <c r="G11" s="10013"/>
      <c r="H11" s="10014"/>
      <c r="I11" s="10015"/>
      <c r="J11" s="10016"/>
      <c r="K11" s="10017"/>
      <c r="L11" s="10018"/>
      <c r="M11" s="10019"/>
      <c r="N11" s="10020"/>
      <c r="O11" s="10021"/>
      <c r="P11" s="10022"/>
      <c r="Q11" s="10023"/>
      <c r="R11" s="10024"/>
      <c r="S11" s="10025"/>
      <c r="T11" s="10026"/>
    </row>
    <row r="12">
      <c r="A12" s="10027" t="s">
        <v>91</v>
      </c>
      <c r="B12" s="10028">
        <v>247</v>
      </c>
      <c r="C12" s="10029">
        <v>807</v>
      </c>
      <c r="D12" s="10030">
        <v>30.607187112763324</v>
      </c>
      <c r="E12" s="10031"/>
      <c r="F12" s="10032"/>
      <c r="G12" s="10033"/>
      <c r="H12" s="10034"/>
      <c r="I12" s="10035"/>
      <c r="J12" s="10036"/>
      <c r="K12" s="10037"/>
      <c r="L12" s="10038"/>
      <c r="M12" s="10039"/>
      <c r="N12" s="10040"/>
      <c r="O12" s="10041"/>
      <c r="P12" s="10042"/>
      <c r="Q12" s="10043"/>
      <c r="R12" s="10044"/>
      <c r="S12" s="10045"/>
      <c r="T12" s="10046"/>
    </row>
    <row r="13">
      <c r="A13" s="10047" t="s">
        <v>92</v>
      </c>
      <c r="B13" s="10048">
        <v>302</v>
      </c>
      <c r="C13" s="10049">
        <v>933</v>
      </c>
      <c r="D13" s="10050">
        <v>32.368703108252952</v>
      </c>
      <c r="E13" s="10051"/>
      <c r="F13" s="10052"/>
      <c r="G13" s="10053"/>
      <c r="H13" s="10054"/>
      <c r="I13" s="10055"/>
      <c r="J13" s="10056"/>
      <c r="K13" s="10057"/>
      <c r="L13" s="10058"/>
      <c r="M13" s="10059"/>
      <c r="N13" s="10060"/>
      <c r="O13" s="10061"/>
      <c r="P13" s="10062"/>
      <c r="Q13" s="10063"/>
      <c r="R13" s="10064"/>
      <c r="S13" s="10065"/>
      <c r="T13" s="10066"/>
    </row>
    <row r="14">
      <c r="A14" s="10067" t="s">
        <v>93</v>
      </c>
      <c r="B14" s="10068">
        <v>294</v>
      </c>
      <c r="C14" s="10069">
        <v>854</v>
      </c>
      <c r="D14" s="10070">
        <v>34.42622950819672</v>
      </c>
      <c r="E14" s="10071"/>
      <c r="F14" s="10072"/>
      <c r="G14" s="10073"/>
      <c r="H14" s="10074"/>
      <c r="I14" s="10075"/>
      <c r="J14" s="10076"/>
      <c r="K14" s="10077"/>
      <c r="L14" s="10078"/>
      <c r="M14" s="10079"/>
      <c r="N14" s="10080"/>
      <c r="O14" s="10081"/>
      <c r="P14" s="10082"/>
      <c r="Q14" s="10083"/>
      <c r="R14" s="10084"/>
      <c r="S14" s="10085"/>
      <c r="T14" s="10086"/>
    </row>
    <row r="15">
      <c r="A15" s="10087" t="s">
        <v>94</v>
      </c>
      <c r="B15" s="10088">
        <v>235</v>
      </c>
      <c r="C15" s="10089">
        <v>730</v>
      </c>
      <c r="D15" s="10090">
        <v>32.19178082191781</v>
      </c>
      <c r="E15" s="10091"/>
      <c r="F15" s="10092"/>
      <c r="G15" s="10093"/>
      <c r="H15" s="10094"/>
      <c r="I15" s="10095"/>
      <c r="J15" s="10096"/>
      <c r="K15" s="10097"/>
      <c r="L15" s="10098"/>
      <c r="M15" s="10099"/>
      <c r="N15" s="10100"/>
      <c r="O15" s="10101"/>
      <c r="P15" s="10102"/>
      <c r="Q15" s="10103"/>
      <c r="R15" s="10104"/>
      <c r="S15" s="10105"/>
      <c r="T15" s="10106"/>
    </row>
    <row r="16">
      <c r="A16" s="10107" t="s">
        <v>95</v>
      </c>
      <c r="B16" s="10108">
        <v>104</v>
      </c>
      <c r="C16" s="10109">
        <v>809</v>
      </c>
      <c r="D16" s="10110">
        <v>12.855377008652658</v>
      </c>
      <c r="E16" s="10111"/>
      <c r="F16" s="10112"/>
      <c r="G16" s="10113"/>
      <c r="H16" s="10114"/>
      <c r="I16" s="10115"/>
      <c r="J16" s="10116"/>
      <c r="K16" s="10117"/>
      <c r="L16" s="10118"/>
      <c r="M16" s="10119"/>
      <c r="N16" s="10120"/>
      <c r="O16" s="10121"/>
      <c r="P16" s="10122"/>
      <c r="Q16" s="10123"/>
      <c r="R16" s="10124"/>
      <c r="S16" s="10125"/>
      <c r="T16" s="10126"/>
    </row>
    <row r="17">
      <c r="A17" s="10127" t="s">
        <v>96</v>
      </c>
      <c r="B17" s="10128">
        <v>226</v>
      </c>
      <c r="C17" s="10129">
        <v>870</v>
      </c>
      <c r="D17" s="10130">
        <v>25.977011494252871</v>
      </c>
      <c r="E17" s="10131"/>
      <c r="F17" s="10132"/>
      <c r="G17" s="10133"/>
      <c r="H17" s="10134"/>
      <c r="I17" s="10135"/>
      <c r="J17" s="10136"/>
      <c r="K17" s="10137"/>
      <c r="L17" s="10138"/>
      <c r="M17" s="10139"/>
      <c r="N17" s="10140"/>
      <c r="O17" s="10141"/>
      <c r="P17" s="10142"/>
      <c r="Q17" s="10143"/>
      <c r="R17" s="10144"/>
      <c r="S17" s="10145"/>
      <c r="T17" s="10146"/>
    </row>
    <row r="18">
      <c r="A18" s="10147" t="s">
        <v>97</v>
      </c>
      <c r="B18" s="10148">
        <v>3409</v>
      </c>
      <c r="C18" s="10149">
        <v>10355</v>
      </c>
      <c r="D18" s="10150">
        <v>32.921294060840175</v>
      </c>
      <c r="E18" s="10151"/>
      <c r="F18" s="10152"/>
      <c r="G18" s="10153"/>
      <c r="H18" s="10154"/>
      <c r="I18" s="10155"/>
      <c r="J18" s="10156"/>
      <c r="K18" s="10157"/>
      <c r="L18" s="10158"/>
      <c r="M18" s="10159"/>
      <c r="N18" s="10160"/>
      <c r="O18" s="10161"/>
      <c r="P18" s="10162"/>
      <c r="Q18" s="10163"/>
      <c r="R18" s="10164"/>
      <c r="S18" s="10165"/>
      <c r="T18" s="10166"/>
    </row>
    <row r="19">
      <c r="A19" s="10167" t="s">
        <v>98</v>
      </c>
      <c r="B19" s="10168"/>
      <c r="C19" s="10169"/>
      <c r="D19" s="10170"/>
      <c r="E19" s="10171"/>
      <c r="F19" s="10172"/>
      <c r="G19" s="10173"/>
      <c r="H19" s="10174"/>
      <c r="I19" s="10175"/>
      <c r="J19" s="10176"/>
      <c r="K19" s="10177"/>
      <c r="L19" s="10178"/>
      <c r="M19" s="10179"/>
      <c r="N19" s="10180"/>
      <c r="O19" s="10181"/>
      <c r="P19" s="10182"/>
      <c r="Q19" s="10183"/>
      <c r="R19" s="10184"/>
      <c r="S19" s="10185"/>
      <c r="T19" s="10186"/>
    </row>
    <row r="20">
      <c r="A20" s="10187" t="s">
        <v>105</v>
      </c>
      <c r="B20" s="10188"/>
      <c r="C20" s="10189"/>
      <c r="D20" s="10190"/>
      <c r="E20" s="10191"/>
      <c r="F20" s="10192"/>
      <c r="G20" s="10193"/>
      <c r="H20" s="10194"/>
      <c r="I20" s="10195"/>
      <c r="J20" s="10196"/>
      <c r="K20" s="10197"/>
      <c r="L20" s="10198"/>
      <c r="M20" s="10199"/>
      <c r="N20" s="10200"/>
      <c r="O20" s="10201"/>
      <c r="P20" s="10202"/>
      <c r="Q20" s="10203"/>
      <c r="R20" s="10204"/>
      <c r="S20" s="10205"/>
      <c r="T20" s="10206"/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6" width="15.453125" style="10207" customWidth="true"/>
  </cols>
  <sheetData>
    <row r="1">
      <c r="A1" s="10208" t="s">
        <v>108</v>
      </c>
      <c r="B1" s="10209"/>
      <c r="C1" s="10210"/>
      <c r="D1" s="10211"/>
      <c r="E1" s="10212"/>
      <c r="F1" s="10213"/>
      <c r="G1" s="10214"/>
      <c r="H1" s="10215"/>
      <c r="I1" s="10216"/>
      <c r="J1" s="10217"/>
      <c r="K1" s="10218"/>
      <c r="L1" s="10219"/>
      <c r="M1" s="10220"/>
      <c r="N1" s="10221"/>
      <c r="O1" s="10222"/>
      <c r="P1" s="10223"/>
      <c r="Q1" s="10224"/>
      <c r="R1" s="10225"/>
      <c r="S1" s="10226"/>
      <c r="T1" s="10227"/>
    </row>
    <row r="2">
      <c r="A2" s="10228"/>
      <c r="B2" s="10229" t="s">
        <v>79</v>
      </c>
      <c r="C2" s="10230" t="s">
        <v>80</v>
      </c>
      <c r="D2" s="10231" t="s">
        <v>81</v>
      </c>
      <c r="E2" s="10232"/>
      <c r="F2" s="10233"/>
      <c r="G2" s="10234"/>
      <c r="H2" s="10235"/>
      <c r="I2" s="10236"/>
      <c r="J2" s="10237"/>
      <c r="K2" s="10238"/>
      <c r="L2" s="10239"/>
      <c r="M2" s="10240"/>
      <c r="N2" s="10241"/>
      <c r="O2" s="10242"/>
      <c r="P2" s="10243"/>
      <c r="Q2" s="10244"/>
      <c r="R2" s="10245"/>
      <c r="S2" s="10246"/>
      <c r="T2" s="10247"/>
    </row>
    <row r="3">
      <c r="A3" s="10248" t="s">
        <v>82</v>
      </c>
      <c r="B3" s="10249"/>
      <c r="C3" s="10250"/>
      <c r="D3" s="10251"/>
      <c r="E3" s="10252"/>
      <c r="F3" s="10253"/>
      <c r="G3" s="10254"/>
      <c r="H3" s="10255"/>
      <c r="I3" s="10256"/>
      <c r="J3" s="10257"/>
      <c r="K3" s="10258"/>
      <c r="L3" s="10259"/>
      <c r="M3" s="10260"/>
      <c r="N3" s="10261"/>
      <c r="O3" s="10262"/>
      <c r="P3" s="10263"/>
      <c r="Q3" s="10264"/>
      <c r="R3" s="10265"/>
      <c r="S3" s="10266"/>
      <c r="T3" s="10267"/>
    </row>
    <row r="4">
      <c r="A4" s="10268" t="s">
        <v>83</v>
      </c>
      <c r="B4" s="10269">
        <v>538</v>
      </c>
      <c r="C4" s="10270">
        <v>555</v>
      </c>
      <c r="D4" s="10271">
        <v>96.936936936936931</v>
      </c>
      <c r="E4" s="10272"/>
      <c r="F4" s="10273"/>
      <c r="G4" s="10274"/>
      <c r="H4" s="10275"/>
      <c r="I4" s="10276"/>
      <c r="J4" s="10277"/>
      <c r="K4" s="10278"/>
      <c r="L4" s="10279"/>
      <c r="M4" s="10280"/>
      <c r="N4" s="10281"/>
      <c r="O4" s="10282"/>
      <c r="P4" s="10283"/>
      <c r="Q4" s="10284"/>
      <c r="R4" s="10285"/>
      <c r="S4" s="10286"/>
      <c r="T4" s="10287"/>
    </row>
    <row r="5">
      <c r="A5" s="10288" t="s">
        <v>84</v>
      </c>
      <c r="B5" s="10289">
        <v>486</v>
      </c>
      <c r="C5" s="10290">
        <v>504</v>
      </c>
      <c r="D5" s="10291">
        <v>96.428571428571431</v>
      </c>
      <c r="E5" s="10292"/>
      <c r="F5" s="10293"/>
      <c r="G5" s="10294"/>
      <c r="H5" s="10295"/>
      <c r="I5" s="10296"/>
      <c r="J5" s="10297"/>
      <c r="K5" s="10298"/>
      <c r="L5" s="10299"/>
      <c r="M5" s="10300"/>
      <c r="N5" s="10301"/>
      <c r="O5" s="10302"/>
      <c r="P5" s="10303"/>
      <c r="Q5" s="10304"/>
      <c r="R5" s="10305"/>
      <c r="S5" s="10306"/>
      <c r="T5" s="10307"/>
    </row>
    <row r="6">
      <c r="A6" s="10308" t="s">
        <v>85</v>
      </c>
      <c r="B6" s="10309">
        <v>559</v>
      </c>
      <c r="C6" s="10310">
        <v>584</v>
      </c>
      <c r="D6" s="10311">
        <v>95.719178082191775</v>
      </c>
      <c r="E6" s="10312"/>
      <c r="F6" s="10313"/>
      <c r="G6" s="10314"/>
      <c r="H6" s="10315"/>
      <c r="I6" s="10316"/>
      <c r="J6" s="10317"/>
      <c r="K6" s="10318"/>
      <c r="L6" s="10319"/>
      <c r="M6" s="10320"/>
      <c r="N6" s="10321"/>
      <c r="O6" s="10322"/>
      <c r="P6" s="10323"/>
      <c r="Q6" s="10324"/>
      <c r="R6" s="10325"/>
      <c r="S6" s="10326"/>
      <c r="T6" s="10327"/>
    </row>
    <row r="7">
      <c r="A7" s="10328" t="s">
        <v>86</v>
      </c>
      <c r="B7" s="10329">
        <v>672</v>
      </c>
      <c r="C7" s="10330">
        <v>697</v>
      </c>
      <c r="D7" s="10331">
        <v>96.413199426111902</v>
      </c>
      <c r="E7" s="10332"/>
      <c r="F7" s="10333"/>
      <c r="G7" s="10334"/>
      <c r="H7" s="10335"/>
      <c r="I7" s="10336"/>
      <c r="J7" s="10337"/>
      <c r="K7" s="10338"/>
      <c r="L7" s="10339"/>
      <c r="M7" s="10340"/>
      <c r="N7" s="10341"/>
      <c r="O7" s="10342"/>
      <c r="P7" s="10343"/>
      <c r="Q7" s="10344"/>
      <c r="R7" s="10345"/>
      <c r="S7" s="10346"/>
      <c r="T7" s="10347"/>
    </row>
    <row r="8">
      <c r="A8" s="10348" t="s">
        <v>87</v>
      </c>
      <c r="B8" s="10349">
        <v>683</v>
      </c>
      <c r="C8" s="10350">
        <v>715</v>
      </c>
      <c r="D8" s="10351">
        <v>95.524475524475534</v>
      </c>
      <c r="E8" s="10352"/>
      <c r="F8" s="10353"/>
      <c r="G8" s="10354"/>
      <c r="H8" s="10355"/>
      <c r="I8" s="10356"/>
      <c r="J8" s="10357"/>
      <c r="K8" s="10358"/>
      <c r="L8" s="10359"/>
      <c r="M8" s="10360"/>
      <c r="N8" s="10361"/>
      <c r="O8" s="10362"/>
      <c r="P8" s="10363"/>
      <c r="Q8" s="10364"/>
      <c r="R8" s="10365"/>
      <c r="S8" s="10366"/>
      <c r="T8" s="10367"/>
    </row>
    <row r="9">
      <c r="A9" s="10368" t="s">
        <v>88</v>
      </c>
      <c r="B9" s="10369">
        <v>644</v>
      </c>
      <c r="C9" s="10370">
        <v>695</v>
      </c>
      <c r="D9" s="10371">
        <v>92.661870503597115</v>
      </c>
      <c r="E9" s="10372"/>
      <c r="F9" s="10373"/>
      <c r="G9" s="10374"/>
      <c r="H9" s="10375"/>
      <c r="I9" s="10376"/>
      <c r="J9" s="10377"/>
      <c r="K9" s="10378"/>
      <c r="L9" s="10379"/>
      <c r="M9" s="10380"/>
      <c r="N9" s="10381"/>
      <c r="O9" s="10382"/>
      <c r="P9" s="10383"/>
      <c r="Q9" s="10384"/>
      <c r="R9" s="10385"/>
      <c r="S9" s="10386"/>
      <c r="T9" s="10387"/>
    </row>
    <row r="10">
      <c r="A10" s="10388" t="s">
        <v>89</v>
      </c>
      <c r="B10" s="10389">
        <v>724</v>
      </c>
      <c r="C10" s="10390">
        <v>780</v>
      </c>
      <c r="D10" s="10391">
        <v>92.820512820512818</v>
      </c>
      <c r="E10" s="10392"/>
      <c r="F10" s="10393"/>
      <c r="G10" s="10394"/>
      <c r="H10" s="10395"/>
      <c r="I10" s="10396"/>
      <c r="J10" s="10397"/>
      <c r="K10" s="10398"/>
      <c r="L10" s="10399"/>
      <c r="M10" s="10400"/>
      <c r="N10" s="10401"/>
      <c r="O10" s="10402"/>
      <c r="P10" s="10403"/>
      <c r="Q10" s="10404"/>
      <c r="R10" s="10405"/>
      <c r="S10" s="10406"/>
      <c r="T10" s="10407"/>
    </row>
    <row r="11">
      <c r="A11" s="10408" t="s">
        <v>90</v>
      </c>
      <c r="B11" s="10409">
        <v>753</v>
      </c>
      <c r="C11" s="10410">
        <v>822</v>
      </c>
      <c r="D11" s="10411">
        <v>91.605839416058402</v>
      </c>
      <c r="E11" s="10412"/>
      <c r="F11" s="10413"/>
      <c r="G11" s="10414"/>
      <c r="H11" s="10415"/>
      <c r="I11" s="10416"/>
      <c r="J11" s="10417"/>
      <c r="K11" s="10418"/>
      <c r="L11" s="10419"/>
      <c r="M11" s="10420"/>
      <c r="N11" s="10421"/>
      <c r="O11" s="10422"/>
      <c r="P11" s="10423"/>
      <c r="Q11" s="10424"/>
      <c r="R11" s="10425"/>
      <c r="S11" s="10426"/>
      <c r="T11" s="10427"/>
    </row>
    <row r="12">
      <c r="A12" s="10428" t="s">
        <v>91</v>
      </c>
      <c r="B12" s="10429">
        <v>289</v>
      </c>
      <c r="C12" s="10430">
        <v>807</v>
      </c>
      <c r="D12" s="10431">
        <v>35.811648079306075</v>
      </c>
      <c r="E12" s="10432"/>
      <c r="F12" s="10433"/>
      <c r="G12" s="10434"/>
      <c r="H12" s="10435"/>
      <c r="I12" s="10436"/>
      <c r="J12" s="10437"/>
      <c r="K12" s="10438"/>
      <c r="L12" s="10439"/>
      <c r="M12" s="10440"/>
      <c r="N12" s="10441"/>
      <c r="O12" s="10442"/>
      <c r="P12" s="10443"/>
      <c r="Q12" s="10444"/>
      <c r="R12" s="10445"/>
      <c r="S12" s="10446"/>
      <c r="T12" s="10447"/>
    </row>
    <row r="13">
      <c r="A13" s="10448" t="s">
        <v>92</v>
      </c>
      <c r="B13" s="10449">
        <v>487</v>
      </c>
      <c r="C13" s="10450">
        <v>933</v>
      </c>
      <c r="D13" s="10451">
        <v>52.197213290460873</v>
      </c>
      <c r="E13" s="10452"/>
      <c r="F13" s="10453"/>
      <c r="G13" s="10454"/>
      <c r="H13" s="10455"/>
      <c r="I13" s="10456"/>
      <c r="J13" s="10457"/>
      <c r="K13" s="10458"/>
      <c r="L13" s="10459"/>
      <c r="M13" s="10460"/>
      <c r="N13" s="10461"/>
      <c r="O13" s="10462"/>
      <c r="P13" s="10463"/>
      <c r="Q13" s="10464"/>
      <c r="R13" s="10465"/>
      <c r="S13" s="10466"/>
      <c r="T13" s="10467"/>
    </row>
    <row r="14">
      <c r="A14" s="10468" t="s">
        <v>93</v>
      </c>
      <c r="B14" s="10469">
        <v>347</v>
      </c>
      <c r="C14" s="10470">
        <v>854</v>
      </c>
      <c r="D14" s="10471">
        <v>40.632318501170964</v>
      </c>
      <c r="E14" s="10472"/>
      <c r="F14" s="10473"/>
      <c r="G14" s="10474"/>
      <c r="H14" s="10475"/>
      <c r="I14" s="10476"/>
      <c r="J14" s="10477"/>
      <c r="K14" s="10478"/>
      <c r="L14" s="10479"/>
      <c r="M14" s="10480"/>
      <c r="N14" s="10481"/>
      <c r="O14" s="10482"/>
      <c r="P14" s="10483"/>
      <c r="Q14" s="10484"/>
      <c r="R14" s="10485"/>
      <c r="S14" s="10486"/>
      <c r="T14" s="10487"/>
    </row>
    <row r="15">
      <c r="A15" s="10488" t="s">
        <v>94</v>
      </c>
      <c r="B15" s="10489">
        <v>280</v>
      </c>
      <c r="C15" s="10490">
        <v>730</v>
      </c>
      <c r="D15" s="10491">
        <v>38.356164383561641</v>
      </c>
      <c r="E15" s="10492"/>
      <c r="F15" s="10493"/>
      <c r="G15" s="10494"/>
      <c r="H15" s="10495"/>
      <c r="I15" s="10496"/>
      <c r="J15" s="10497"/>
      <c r="K15" s="10498"/>
      <c r="L15" s="10499"/>
      <c r="M15" s="10500"/>
      <c r="N15" s="10501"/>
      <c r="O15" s="10502"/>
      <c r="P15" s="10503"/>
      <c r="Q15" s="10504"/>
      <c r="R15" s="10505"/>
      <c r="S15" s="10506"/>
      <c r="T15" s="10507"/>
    </row>
    <row r="16">
      <c r="A16" s="10508" t="s">
        <v>95</v>
      </c>
      <c r="B16" s="10509">
        <v>104</v>
      </c>
      <c r="C16" s="10510">
        <v>809</v>
      </c>
      <c r="D16" s="10511">
        <v>12.855377008652658</v>
      </c>
      <c r="E16" s="10512"/>
      <c r="F16" s="10513"/>
      <c r="G16" s="10514"/>
      <c r="H16" s="10515"/>
      <c r="I16" s="10516"/>
      <c r="J16" s="10517"/>
      <c r="K16" s="10518"/>
      <c r="L16" s="10519"/>
      <c r="M16" s="10520"/>
      <c r="N16" s="10521"/>
      <c r="O16" s="10522"/>
      <c r="P16" s="10523"/>
      <c r="Q16" s="10524"/>
      <c r="R16" s="10525"/>
      <c r="S16" s="10526"/>
      <c r="T16" s="10527"/>
    </row>
    <row r="17">
      <c r="A17" s="10528" t="s">
        <v>96</v>
      </c>
      <c r="B17" s="10529">
        <v>227</v>
      </c>
      <c r="C17" s="10530">
        <v>870</v>
      </c>
      <c r="D17" s="10531">
        <v>26.091954022988507</v>
      </c>
      <c r="E17" s="10532"/>
      <c r="F17" s="10533"/>
      <c r="G17" s="10534"/>
      <c r="H17" s="10535"/>
      <c r="I17" s="10536"/>
      <c r="J17" s="10537"/>
      <c r="K17" s="10538"/>
      <c r="L17" s="10539"/>
      <c r="M17" s="10540"/>
      <c r="N17" s="10541"/>
      <c r="O17" s="10542"/>
      <c r="P17" s="10543"/>
      <c r="Q17" s="10544"/>
      <c r="R17" s="10545"/>
      <c r="S17" s="10546"/>
      <c r="T17" s="10547"/>
    </row>
    <row r="18">
      <c r="A18" s="10548" t="s">
        <v>97</v>
      </c>
      <c r="B18" s="10549">
        <v>6793</v>
      </c>
      <c r="C18" s="10550">
        <v>10355</v>
      </c>
      <c r="D18" s="10551">
        <v>65.601158860453893</v>
      </c>
      <c r="E18" s="10552"/>
      <c r="F18" s="10553"/>
      <c r="G18" s="10554"/>
      <c r="H18" s="10555"/>
      <c r="I18" s="10556"/>
      <c r="J18" s="10557"/>
      <c r="K18" s="10558"/>
      <c r="L18" s="10559"/>
      <c r="M18" s="10560"/>
      <c r="N18" s="10561"/>
      <c r="O18" s="10562"/>
      <c r="P18" s="10563"/>
      <c r="Q18" s="10564"/>
      <c r="R18" s="10565"/>
      <c r="S18" s="10566"/>
      <c r="T18" s="10567"/>
    </row>
    <row r="19">
      <c r="A19" s="10568" t="s">
        <v>98</v>
      </c>
      <c r="B19" s="10569"/>
      <c r="C19" s="10570"/>
      <c r="D19" s="10571"/>
      <c r="E19" s="10572"/>
      <c r="F19" s="10573"/>
      <c r="G19" s="10574"/>
      <c r="H19" s="10575"/>
      <c r="I19" s="10576"/>
      <c r="J19" s="10577"/>
      <c r="K19" s="10578"/>
      <c r="L19" s="10579"/>
      <c r="M19" s="10580"/>
      <c r="N19" s="10581"/>
      <c r="O19" s="10582"/>
      <c r="P19" s="10583"/>
      <c r="Q19" s="10584"/>
      <c r="R19" s="10585"/>
      <c r="S19" s="10586"/>
      <c r="T19" s="10587"/>
    </row>
    <row r="20">
      <c r="A20" s="10588" t="s">
        <v>105</v>
      </c>
      <c r="B20" s="10589"/>
      <c r="C20" s="10590"/>
      <c r="D20" s="10591"/>
      <c r="E20" s="10592"/>
      <c r="F20" s="10593"/>
      <c r="G20" s="10594"/>
      <c r="H20" s="10595"/>
      <c r="I20" s="10596"/>
      <c r="J20" s="10597"/>
      <c r="K20" s="10598"/>
      <c r="L20" s="10599"/>
      <c r="M20" s="10600"/>
      <c r="N20" s="10601"/>
      <c r="O20" s="10602"/>
      <c r="P20" s="10603"/>
      <c r="Q20" s="10604"/>
      <c r="R20" s="10605"/>
      <c r="S20" s="10606"/>
      <c r="T20" s="10607"/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6" width="15.453125" style="10608" customWidth="true"/>
  </cols>
  <sheetData>
    <row r="1">
      <c r="A1" s="10609" t="s">
        <v>109</v>
      </c>
      <c r="B1" s="10610"/>
      <c r="C1" s="10611"/>
      <c r="D1" s="10612"/>
      <c r="E1" s="10613"/>
      <c r="F1" s="10614"/>
      <c r="G1" s="10615"/>
      <c r="H1" s="10616"/>
      <c r="I1" s="10617"/>
      <c r="J1" s="10618"/>
      <c r="K1" s="10619"/>
      <c r="L1" s="10620"/>
      <c r="M1" s="10621"/>
      <c r="N1" s="10622"/>
      <c r="O1" s="10623"/>
      <c r="P1" s="10624"/>
      <c r="Q1" s="10625"/>
      <c r="R1" s="10626"/>
      <c r="S1" s="10627"/>
      <c r="T1" s="10628"/>
    </row>
    <row r="2">
      <c r="A2" s="10629"/>
      <c r="B2" s="10630" t="s">
        <v>79</v>
      </c>
      <c r="C2" s="10631" t="s">
        <v>80</v>
      </c>
      <c r="D2" s="10632" t="s">
        <v>81</v>
      </c>
      <c r="E2" s="10633"/>
      <c r="F2" s="10634"/>
      <c r="G2" s="10635"/>
      <c r="H2" s="10636"/>
      <c r="I2" s="10637"/>
      <c r="J2" s="10638"/>
      <c r="K2" s="10639"/>
      <c r="L2" s="10640"/>
      <c r="M2" s="10641"/>
      <c r="N2" s="10642"/>
      <c r="O2" s="10643"/>
      <c r="P2" s="10644"/>
      <c r="Q2" s="10645"/>
      <c r="R2" s="10646"/>
      <c r="S2" s="10647"/>
      <c r="T2" s="10648"/>
    </row>
    <row r="3">
      <c r="A3" s="10649" t="s">
        <v>82</v>
      </c>
      <c r="B3" s="10650"/>
      <c r="C3" s="10651"/>
      <c r="D3" s="10652"/>
      <c r="E3" s="10653"/>
      <c r="F3" s="10654"/>
      <c r="G3" s="10655"/>
      <c r="H3" s="10656"/>
      <c r="I3" s="10657"/>
      <c r="J3" s="10658"/>
      <c r="K3" s="10659"/>
      <c r="L3" s="10660"/>
      <c r="M3" s="10661"/>
      <c r="N3" s="10662"/>
      <c r="O3" s="10663"/>
      <c r="P3" s="10664"/>
      <c r="Q3" s="10665"/>
      <c r="R3" s="10666"/>
      <c r="S3" s="10667"/>
      <c r="T3" s="10668"/>
    </row>
    <row r="4">
      <c r="A4" s="10669" t="s">
        <v>83</v>
      </c>
      <c r="B4" s="10670">
        <v>165</v>
      </c>
      <c r="C4" s="10671">
        <v>555</v>
      </c>
      <c r="D4" s="10672">
        <v>29.72972972972973</v>
      </c>
      <c r="E4" s="10673"/>
      <c r="F4" s="10674"/>
      <c r="G4" s="10675"/>
      <c r="H4" s="10676"/>
      <c r="I4" s="10677"/>
      <c r="J4" s="10678"/>
      <c r="K4" s="10679"/>
      <c r="L4" s="10680"/>
      <c r="M4" s="10681"/>
      <c r="N4" s="10682"/>
      <c r="O4" s="10683"/>
      <c r="P4" s="10684"/>
      <c r="Q4" s="10685"/>
      <c r="R4" s="10686"/>
      <c r="S4" s="10687"/>
      <c r="T4" s="10688"/>
    </row>
    <row r="5">
      <c r="A5" s="10689" t="s">
        <v>84</v>
      </c>
      <c r="B5" s="10690">
        <v>153</v>
      </c>
      <c r="C5" s="10691">
        <v>504</v>
      </c>
      <c r="D5" s="10692">
        <v>30.357142857142854</v>
      </c>
      <c r="E5" s="10693"/>
      <c r="F5" s="10694"/>
      <c r="G5" s="10695"/>
      <c r="H5" s="10696"/>
      <c r="I5" s="10697"/>
      <c r="J5" s="10698"/>
      <c r="K5" s="10699"/>
      <c r="L5" s="10700"/>
      <c r="M5" s="10701"/>
      <c r="N5" s="10702"/>
      <c r="O5" s="10703"/>
      <c r="P5" s="10704"/>
      <c r="Q5" s="10705"/>
      <c r="R5" s="10706"/>
      <c r="S5" s="10707"/>
      <c r="T5" s="10708"/>
    </row>
    <row r="6">
      <c r="A6" s="10709" t="s">
        <v>85</v>
      </c>
      <c r="B6" s="10710">
        <v>145</v>
      </c>
      <c r="C6" s="10711">
        <v>584</v>
      </c>
      <c r="D6" s="10712">
        <v>24.828767123287669</v>
      </c>
      <c r="E6" s="10713"/>
      <c r="F6" s="10714"/>
      <c r="G6" s="10715"/>
      <c r="H6" s="10716"/>
      <c r="I6" s="10717"/>
      <c r="J6" s="10718"/>
      <c r="K6" s="10719"/>
      <c r="L6" s="10720"/>
      <c r="M6" s="10721"/>
      <c r="N6" s="10722"/>
      <c r="O6" s="10723"/>
      <c r="P6" s="10724"/>
      <c r="Q6" s="10725"/>
      <c r="R6" s="10726"/>
      <c r="S6" s="10727"/>
      <c r="T6" s="10728"/>
    </row>
    <row r="7">
      <c r="A7" s="10729" t="s">
        <v>86</v>
      </c>
      <c r="B7" s="10730">
        <v>188</v>
      </c>
      <c r="C7" s="10731">
        <v>697</v>
      </c>
      <c r="D7" s="10732">
        <v>26.972740315638451</v>
      </c>
      <c r="E7" s="10733"/>
      <c r="F7" s="10734"/>
      <c r="G7" s="10735"/>
      <c r="H7" s="10736"/>
      <c r="I7" s="10737"/>
      <c r="J7" s="10738"/>
      <c r="K7" s="10739"/>
      <c r="L7" s="10740"/>
      <c r="M7" s="10741"/>
      <c r="N7" s="10742"/>
      <c r="O7" s="10743"/>
      <c r="P7" s="10744"/>
      <c r="Q7" s="10745"/>
      <c r="R7" s="10746"/>
      <c r="S7" s="10747"/>
      <c r="T7" s="10748"/>
    </row>
    <row r="8">
      <c r="A8" s="10749" t="s">
        <v>87</v>
      </c>
      <c r="B8" s="10750">
        <v>208</v>
      </c>
      <c r="C8" s="10751">
        <v>715</v>
      </c>
      <c r="D8" s="10752">
        <v>29.09090909090909</v>
      </c>
      <c r="E8" s="10753"/>
      <c r="F8" s="10754"/>
      <c r="G8" s="10755"/>
      <c r="H8" s="10756"/>
      <c r="I8" s="10757"/>
      <c r="J8" s="10758"/>
      <c r="K8" s="10759"/>
      <c r="L8" s="10760"/>
      <c r="M8" s="10761"/>
      <c r="N8" s="10762"/>
      <c r="O8" s="10763"/>
      <c r="P8" s="10764"/>
      <c r="Q8" s="10765"/>
      <c r="R8" s="10766"/>
      <c r="S8" s="10767"/>
      <c r="T8" s="10768"/>
    </row>
    <row r="9">
      <c r="A9" s="10769" t="s">
        <v>88</v>
      </c>
      <c r="B9" s="10770">
        <v>194</v>
      </c>
      <c r="C9" s="10771">
        <v>695</v>
      </c>
      <c r="D9" s="10772">
        <v>27.913669064748202</v>
      </c>
      <c r="E9" s="10773"/>
      <c r="F9" s="10774"/>
      <c r="G9" s="10775"/>
      <c r="H9" s="10776"/>
      <c r="I9" s="10777"/>
      <c r="J9" s="10778"/>
      <c r="K9" s="10779"/>
      <c r="L9" s="10780"/>
      <c r="M9" s="10781"/>
      <c r="N9" s="10782"/>
      <c r="O9" s="10783"/>
      <c r="P9" s="10784"/>
      <c r="Q9" s="10785"/>
      <c r="R9" s="10786"/>
      <c r="S9" s="10787"/>
      <c r="T9" s="10788"/>
    </row>
    <row r="10">
      <c r="A10" s="10789" t="s">
        <v>89</v>
      </c>
      <c r="B10" s="10790">
        <v>303</v>
      </c>
      <c r="C10" s="10791">
        <v>780</v>
      </c>
      <c r="D10" s="10792">
        <v>38.846153846153847</v>
      </c>
      <c r="E10" s="10793"/>
      <c r="F10" s="10794"/>
      <c r="G10" s="10795"/>
      <c r="H10" s="10796"/>
      <c r="I10" s="10797"/>
      <c r="J10" s="10798"/>
      <c r="K10" s="10799"/>
      <c r="L10" s="10800"/>
      <c r="M10" s="10801"/>
      <c r="N10" s="10802"/>
      <c r="O10" s="10803"/>
      <c r="P10" s="10804"/>
      <c r="Q10" s="10805"/>
      <c r="R10" s="10806"/>
      <c r="S10" s="10807"/>
      <c r="T10" s="10808"/>
    </row>
    <row r="11">
      <c r="A11" s="10809" t="s">
        <v>90</v>
      </c>
      <c r="B11" s="10810">
        <v>221</v>
      </c>
      <c r="C11" s="10811">
        <v>822</v>
      </c>
      <c r="D11" s="10812">
        <v>26.885644768856448</v>
      </c>
      <c r="E11" s="10813"/>
      <c r="F11" s="10814"/>
      <c r="G11" s="10815"/>
      <c r="H11" s="10816"/>
      <c r="I11" s="10817"/>
      <c r="J11" s="10818"/>
      <c r="K11" s="10819"/>
      <c r="L11" s="10820"/>
      <c r="M11" s="10821"/>
      <c r="N11" s="10822"/>
      <c r="O11" s="10823"/>
      <c r="P11" s="10824"/>
      <c r="Q11" s="10825"/>
      <c r="R11" s="10826"/>
      <c r="S11" s="10827"/>
      <c r="T11" s="10828"/>
    </row>
    <row r="12">
      <c r="A12" s="10829" t="s">
        <v>91</v>
      </c>
      <c r="B12" s="10830">
        <v>246</v>
      </c>
      <c r="C12" s="10831">
        <v>807</v>
      </c>
      <c r="D12" s="10832">
        <v>30.483271375464682</v>
      </c>
      <c r="E12" s="10833"/>
      <c r="F12" s="10834"/>
      <c r="G12" s="10835"/>
      <c r="H12" s="10836"/>
      <c r="I12" s="10837"/>
      <c r="J12" s="10838"/>
      <c r="K12" s="10839"/>
      <c r="L12" s="10840"/>
      <c r="M12" s="10841"/>
      <c r="N12" s="10842"/>
      <c r="O12" s="10843"/>
      <c r="P12" s="10844"/>
      <c r="Q12" s="10845"/>
      <c r="R12" s="10846"/>
      <c r="S12" s="10847"/>
      <c r="T12" s="10848"/>
    </row>
    <row r="13">
      <c r="A13" s="10849" t="s">
        <v>92</v>
      </c>
      <c r="B13" s="10850">
        <v>281</v>
      </c>
      <c r="C13" s="10851">
        <v>933</v>
      </c>
      <c r="D13" s="10852">
        <v>30.117899249732048</v>
      </c>
      <c r="E13" s="10853"/>
      <c r="F13" s="10854"/>
      <c r="G13" s="10855"/>
      <c r="H13" s="10856"/>
      <c r="I13" s="10857"/>
      <c r="J13" s="10858"/>
      <c r="K13" s="10859"/>
      <c r="L13" s="10860"/>
      <c r="M13" s="10861"/>
      <c r="N13" s="10862"/>
      <c r="O13" s="10863"/>
      <c r="P13" s="10864"/>
      <c r="Q13" s="10865"/>
      <c r="R13" s="10866"/>
      <c r="S13" s="10867"/>
      <c r="T13" s="10868"/>
    </row>
    <row r="14">
      <c r="A14" s="10869" t="s">
        <v>93</v>
      </c>
      <c r="B14" s="10870">
        <v>239</v>
      </c>
      <c r="C14" s="10871">
        <v>854</v>
      </c>
      <c r="D14" s="10872">
        <v>27.985948477751755</v>
      </c>
      <c r="E14" s="10873"/>
      <c r="F14" s="10874"/>
      <c r="G14" s="10875"/>
      <c r="H14" s="10876"/>
      <c r="I14" s="10877"/>
      <c r="J14" s="10878"/>
      <c r="K14" s="10879"/>
      <c r="L14" s="10880"/>
      <c r="M14" s="10881"/>
      <c r="N14" s="10882"/>
      <c r="O14" s="10883"/>
      <c r="P14" s="10884"/>
      <c r="Q14" s="10885"/>
      <c r="R14" s="10886"/>
      <c r="S14" s="10887"/>
      <c r="T14" s="10888"/>
    </row>
    <row r="15">
      <c r="A15" s="10889" t="s">
        <v>94</v>
      </c>
      <c r="B15" s="10890">
        <v>223</v>
      </c>
      <c r="C15" s="10891">
        <v>730</v>
      </c>
      <c r="D15" s="10892">
        <v>30.547945205479454</v>
      </c>
      <c r="E15" s="10893"/>
      <c r="F15" s="10894"/>
      <c r="G15" s="10895"/>
      <c r="H15" s="10896"/>
      <c r="I15" s="10897"/>
      <c r="J15" s="10898"/>
      <c r="K15" s="10899"/>
      <c r="L15" s="10900"/>
      <c r="M15" s="10901"/>
      <c r="N15" s="10902"/>
      <c r="O15" s="10903"/>
      <c r="P15" s="10904"/>
      <c r="Q15" s="10905"/>
      <c r="R15" s="10906"/>
      <c r="S15" s="10907"/>
      <c r="T15" s="10908"/>
    </row>
    <row r="16">
      <c r="A16" s="10909" t="s">
        <v>95</v>
      </c>
      <c r="B16" s="10910">
        <v>119</v>
      </c>
      <c r="C16" s="10911">
        <v>809</v>
      </c>
      <c r="D16" s="10912">
        <v>14.709517923362176</v>
      </c>
      <c r="E16" s="10913"/>
      <c r="F16" s="10914"/>
      <c r="G16" s="10915"/>
      <c r="H16" s="10916"/>
      <c r="I16" s="10917"/>
      <c r="J16" s="10918"/>
      <c r="K16" s="10919"/>
      <c r="L16" s="10920"/>
      <c r="M16" s="10921"/>
      <c r="N16" s="10922"/>
      <c r="O16" s="10923"/>
      <c r="P16" s="10924"/>
      <c r="Q16" s="10925"/>
      <c r="R16" s="10926"/>
      <c r="S16" s="10927"/>
      <c r="T16" s="10928"/>
    </row>
    <row r="17">
      <c r="A17" s="10929" t="s">
        <v>96</v>
      </c>
      <c r="B17" s="10930">
        <v>292</v>
      </c>
      <c r="C17" s="10931">
        <v>870</v>
      </c>
      <c r="D17" s="10932">
        <v>33.5632183908046</v>
      </c>
      <c r="E17" s="10933"/>
      <c r="F17" s="10934"/>
      <c r="G17" s="10935"/>
      <c r="H17" s="10936"/>
      <c r="I17" s="10937"/>
      <c r="J17" s="10938"/>
      <c r="K17" s="10939"/>
      <c r="L17" s="10940"/>
      <c r="M17" s="10941"/>
      <c r="N17" s="10942"/>
      <c r="O17" s="10943"/>
      <c r="P17" s="10944"/>
      <c r="Q17" s="10945"/>
      <c r="R17" s="10946"/>
      <c r="S17" s="10947"/>
      <c r="T17" s="10948"/>
    </row>
    <row r="18">
      <c r="A18" s="10949" t="s">
        <v>97</v>
      </c>
      <c r="B18" s="10950">
        <v>2977</v>
      </c>
      <c r="C18" s="10951">
        <v>10355</v>
      </c>
      <c r="D18" s="10952">
        <v>28.749396426846936</v>
      </c>
      <c r="E18" s="10953"/>
      <c r="F18" s="10954"/>
      <c r="G18" s="10955"/>
      <c r="H18" s="10956"/>
      <c r="I18" s="10957"/>
      <c r="J18" s="10958"/>
      <c r="K18" s="10959"/>
      <c r="L18" s="10960"/>
      <c r="M18" s="10961"/>
      <c r="N18" s="10962"/>
      <c r="O18" s="10963"/>
      <c r="P18" s="10964"/>
      <c r="Q18" s="10965"/>
      <c r="R18" s="10966"/>
      <c r="S18" s="10967"/>
      <c r="T18" s="10968"/>
    </row>
    <row r="19">
      <c r="A19" s="10969" t="s">
        <v>98</v>
      </c>
      <c r="B19" s="10970"/>
      <c r="C19" s="10971"/>
      <c r="D19" s="10972"/>
      <c r="E19" s="10973"/>
      <c r="F19" s="10974"/>
      <c r="G19" s="10975"/>
      <c r="H19" s="10976"/>
      <c r="I19" s="10977"/>
      <c r="J19" s="10978"/>
      <c r="K19" s="10979"/>
      <c r="L19" s="10980"/>
      <c r="M19" s="10981"/>
      <c r="N19" s="10982"/>
      <c r="O19" s="10983"/>
      <c r="P19" s="10984"/>
      <c r="Q19" s="10985"/>
      <c r="R19" s="10986"/>
      <c r="S19" s="10987"/>
      <c r="T19" s="10988"/>
    </row>
    <row r="20">
      <c r="A20" s="10989" t="s">
        <v>110</v>
      </c>
      <c r="B20" s="10990"/>
      <c r="C20" s="10991"/>
      <c r="D20" s="10992"/>
      <c r="E20" s="10993"/>
      <c r="F20" s="10994"/>
      <c r="G20" s="10995"/>
      <c r="H20" s="10996"/>
      <c r="I20" s="10997"/>
      <c r="J20" s="10998"/>
      <c r="K20" s="10999"/>
      <c r="L20" s="11000"/>
      <c r="M20" s="11001"/>
      <c r="N20" s="11002"/>
      <c r="O20" s="11003"/>
      <c r="P20" s="11004"/>
      <c r="Q20" s="11005"/>
      <c r="R20" s="11006"/>
      <c r="S20" s="11007"/>
      <c r="T20" s="11008"/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6" width="15.453125" style="11009" customWidth="true"/>
  </cols>
  <sheetData>
    <row r="1">
      <c r="A1" s="11010" t="s">
        <v>111</v>
      </c>
      <c r="B1" s="11011"/>
      <c r="C1" s="11012"/>
      <c r="D1" s="11013"/>
      <c r="E1" s="11014"/>
      <c r="F1" s="11015"/>
      <c r="G1" s="11016"/>
      <c r="H1" s="11017"/>
      <c r="I1" s="11018"/>
      <c r="J1" s="11019"/>
      <c r="K1" s="11020"/>
      <c r="L1" s="11021"/>
      <c r="M1" s="11022"/>
      <c r="N1" s="11023"/>
      <c r="O1" s="11024"/>
      <c r="P1" s="11025"/>
      <c r="Q1" s="11026"/>
      <c r="R1" s="11027"/>
      <c r="S1" s="11028"/>
      <c r="T1" s="11029"/>
    </row>
    <row r="2">
      <c r="A2" s="11030"/>
      <c r="B2" s="11031" t="s">
        <v>79</v>
      </c>
      <c r="C2" s="11032" t="s">
        <v>80</v>
      </c>
      <c r="D2" s="11033" t="s">
        <v>81</v>
      </c>
      <c r="E2" s="11034"/>
      <c r="F2" s="11035"/>
      <c r="G2" s="11036"/>
      <c r="H2" s="11037"/>
      <c r="I2" s="11038"/>
      <c r="J2" s="11039"/>
      <c r="K2" s="11040"/>
      <c r="L2" s="11041"/>
      <c r="M2" s="11042"/>
      <c r="N2" s="11043"/>
      <c r="O2" s="11044"/>
      <c r="P2" s="11045"/>
      <c r="Q2" s="11046"/>
      <c r="R2" s="11047"/>
      <c r="S2" s="11048"/>
      <c r="T2" s="11049"/>
    </row>
    <row r="3">
      <c r="A3" s="11050" t="s">
        <v>82</v>
      </c>
      <c r="B3" s="11051"/>
      <c r="C3" s="11052"/>
      <c r="D3" s="11053"/>
      <c r="E3" s="11054"/>
      <c r="F3" s="11055"/>
      <c r="G3" s="11056"/>
      <c r="H3" s="11057"/>
      <c r="I3" s="11058"/>
      <c r="J3" s="11059"/>
      <c r="K3" s="11060"/>
      <c r="L3" s="11061"/>
      <c r="M3" s="11062"/>
      <c r="N3" s="11063"/>
      <c r="O3" s="11064"/>
      <c r="P3" s="11065"/>
      <c r="Q3" s="11066"/>
      <c r="R3" s="11067"/>
      <c r="S3" s="11068"/>
      <c r="T3" s="11069"/>
    </row>
    <row r="4">
      <c r="A4" s="11070" t="s">
        <v>83</v>
      </c>
      <c r="B4" s="11071">
        <v>316</v>
      </c>
      <c r="C4" s="11072">
        <v>555</v>
      </c>
      <c r="D4" s="11073">
        <v>56.936936936936931</v>
      </c>
      <c r="E4" s="11074"/>
      <c r="F4" s="11075"/>
      <c r="G4" s="11076"/>
      <c r="H4" s="11077"/>
      <c r="I4" s="11078"/>
      <c r="J4" s="11079"/>
      <c r="K4" s="11080"/>
      <c r="L4" s="11081"/>
      <c r="M4" s="11082"/>
      <c r="N4" s="11083"/>
      <c r="O4" s="11084"/>
      <c r="P4" s="11085"/>
      <c r="Q4" s="11086"/>
      <c r="R4" s="11087"/>
      <c r="S4" s="11088"/>
      <c r="T4" s="11089"/>
    </row>
    <row r="5">
      <c r="A5" s="11090" t="s">
        <v>84</v>
      </c>
      <c r="B5" s="11091">
        <v>288</v>
      </c>
      <c r="C5" s="11092">
        <v>504</v>
      </c>
      <c r="D5" s="11093">
        <v>57.142857142857139</v>
      </c>
      <c r="E5" s="11094"/>
      <c r="F5" s="11095"/>
      <c r="G5" s="11096"/>
      <c r="H5" s="11097"/>
      <c r="I5" s="11098"/>
      <c r="J5" s="11099"/>
      <c r="K5" s="11100"/>
      <c r="L5" s="11101"/>
      <c r="M5" s="11102"/>
      <c r="N5" s="11103"/>
      <c r="O5" s="11104"/>
      <c r="P5" s="11105"/>
      <c r="Q5" s="11106"/>
      <c r="R5" s="11107"/>
      <c r="S5" s="11108"/>
      <c r="T5" s="11109"/>
    </row>
    <row r="6">
      <c r="A6" s="11110" t="s">
        <v>85</v>
      </c>
      <c r="B6" s="11111">
        <v>322</v>
      </c>
      <c r="C6" s="11112">
        <v>584</v>
      </c>
      <c r="D6" s="11113">
        <v>55.136986301369859</v>
      </c>
      <c r="E6" s="11114"/>
      <c r="F6" s="11115"/>
      <c r="G6" s="11116"/>
      <c r="H6" s="11117"/>
      <c r="I6" s="11118"/>
      <c r="J6" s="11119"/>
      <c r="K6" s="11120"/>
      <c r="L6" s="11121"/>
      <c r="M6" s="11122"/>
      <c r="N6" s="11123"/>
      <c r="O6" s="11124"/>
      <c r="P6" s="11125"/>
      <c r="Q6" s="11126"/>
      <c r="R6" s="11127"/>
      <c r="S6" s="11128"/>
      <c r="T6" s="11129"/>
    </row>
    <row r="7">
      <c r="A7" s="11130" t="s">
        <v>86</v>
      </c>
      <c r="B7" s="11131">
        <v>408</v>
      </c>
      <c r="C7" s="11132">
        <v>697</v>
      </c>
      <c r="D7" s="11133">
        <v>58.536585365853654</v>
      </c>
      <c r="E7" s="11134"/>
      <c r="F7" s="11135"/>
      <c r="G7" s="11136"/>
      <c r="H7" s="11137"/>
      <c r="I7" s="11138"/>
      <c r="J7" s="11139"/>
      <c r="K7" s="11140"/>
      <c r="L7" s="11141"/>
      <c r="M7" s="11142"/>
      <c r="N7" s="11143"/>
      <c r="O7" s="11144"/>
      <c r="P7" s="11145"/>
      <c r="Q7" s="11146"/>
      <c r="R7" s="11147"/>
      <c r="S7" s="11148"/>
      <c r="T7" s="11149"/>
    </row>
    <row r="8">
      <c r="A8" s="11150" t="s">
        <v>87</v>
      </c>
      <c r="B8" s="11151">
        <v>398</v>
      </c>
      <c r="C8" s="11152">
        <v>715</v>
      </c>
      <c r="D8" s="11153">
        <v>55.66433566433566</v>
      </c>
      <c r="E8" s="11154"/>
      <c r="F8" s="11155"/>
      <c r="G8" s="11156"/>
      <c r="H8" s="11157"/>
      <c r="I8" s="11158"/>
      <c r="J8" s="11159"/>
      <c r="K8" s="11160"/>
      <c r="L8" s="11161"/>
      <c r="M8" s="11162"/>
      <c r="N8" s="11163"/>
      <c r="O8" s="11164"/>
      <c r="P8" s="11165"/>
      <c r="Q8" s="11166"/>
      <c r="R8" s="11167"/>
      <c r="S8" s="11168"/>
      <c r="T8" s="11169"/>
    </row>
    <row r="9">
      <c r="A9" s="11170" t="s">
        <v>88</v>
      </c>
      <c r="B9" s="11171">
        <v>392</v>
      </c>
      <c r="C9" s="11172">
        <v>695</v>
      </c>
      <c r="D9" s="11173">
        <v>56.402877697841724</v>
      </c>
      <c r="E9" s="11174"/>
      <c r="F9" s="11175"/>
      <c r="G9" s="11176"/>
      <c r="H9" s="11177"/>
      <c r="I9" s="11178"/>
      <c r="J9" s="11179"/>
      <c r="K9" s="11180"/>
      <c r="L9" s="11181"/>
      <c r="M9" s="11182"/>
      <c r="N9" s="11183"/>
      <c r="O9" s="11184"/>
      <c r="P9" s="11185"/>
      <c r="Q9" s="11186"/>
      <c r="R9" s="11187"/>
      <c r="S9" s="11188"/>
      <c r="T9" s="11189"/>
    </row>
    <row r="10">
      <c r="A10" s="11190" t="s">
        <v>89</v>
      </c>
      <c r="B10" s="11191">
        <v>489</v>
      </c>
      <c r="C10" s="11192">
        <v>780</v>
      </c>
      <c r="D10" s="11193">
        <v>62.692307692307694</v>
      </c>
      <c r="E10" s="11194"/>
      <c r="F10" s="11195"/>
      <c r="G10" s="11196"/>
      <c r="H10" s="11197"/>
      <c r="I10" s="11198"/>
      <c r="J10" s="11199"/>
      <c r="K10" s="11200"/>
      <c r="L10" s="11201"/>
      <c r="M10" s="11202"/>
      <c r="N10" s="11203"/>
      <c r="O10" s="11204"/>
      <c r="P10" s="11205"/>
      <c r="Q10" s="11206"/>
      <c r="R10" s="11207"/>
      <c r="S10" s="11208"/>
      <c r="T10" s="11209"/>
    </row>
    <row r="11">
      <c r="A11" s="11210" t="s">
        <v>90</v>
      </c>
      <c r="B11" s="11211">
        <v>463</v>
      </c>
      <c r="C11" s="11212">
        <v>822</v>
      </c>
      <c r="D11" s="11213">
        <v>56.326034063260345</v>
      </c>
      <c r="E11" s="11214"/>
      <c r="F11" s="11215"/>
      <c r="G11" s="11216"/>
      <c r="H11" s="11217"/>
      <c r="I11" s="11218"/>
      <c r="J11" s="11219"/>
      <c r="K11" s="11220"/>
      <c r="L11" s="11221"/>
      <c r="M11" s="11222"/>
      <c r="N11" s="11223"/>
      <c r="O11" s="11224"/>
      <c r="P11" s="11225"/>
      <c r="Q11" s="11226"/>
      <c r="R11" s="11227"/>
      <c r="S11" s="11228"/>
      <c r="T11" s="11229"/>
    </row>
    <row r="12">
      <c r="A12" s="11230" t="s">
        <v>91</v>
      </c>
      <c r="B12" s="11231">
        <v>475</v>
      </c>
      <c r="C12" s="11232">
        <v>807</v>
      </c>
      <c r="D12" s="11233">
        <v>58.859975216852547</v>
      </c>
      <c r="E12" s="11234"/>
      <c r="F12" s="11235"/>
      <c r="G12" s="11236"/>
      <c r="H12" s="11237"/>
      <c r="I12" s="11238"/>
      <c r="J12" s="11239"/>
      <c r="K12" s="11240"/>
      <c r="L12" s="11241"/>
      <c r="M12" s="11242"/>
      <c r="N12" s="11243"/>
      <c r="O12" s="11244"/>
      <c r="P12" s="11245"/>
      <c r="Q12" s="11246"/>
      <c r="R12" s="11247"/>
      <c r="S12" s="11248"/>
      <c r="T12" s="11249"/>
    </row>
    <row r="13">
      <c r="A13" s="11250" t="s">
        <v>92</v>
      </c>
      <c r="B13" s="11251">
        <v>543</v>
      </c>
      <c r="C13" s="11252">
        <v>933</v>
      </c>
      <c r="D13" s="11253">
        <v>58.199356913183273</v>
      </c>
      <c r="E13" s="11254"/>
      <c r="F13" s="11255"/>
      <c r="G13" s="11256"/>
      <c r="H13" s="11257"/>
      <c r="I13" s="11258"/>
      <c r="J13" s="11259"/>
      <c r="K13" s="11260"/>
      <c r="L13" s="11261"/>
      <c r="M13" s="11262"/>
      <c r="N13" s="11263"/>
      <c r="O13" s="11264"/>
      <c r="P13" s="11265"/>
      <c r="Q13" s="11266"/>
      <c r="R13" s="11267"/>
      <c r="S13" s="11268"/>
      <c r="T13" s="11269"/>
    </row>
    <row r="14">
      <c r="A14" s="11270" t="s">
        <v>93</v>
      </c>
      <c r="B14" s="11271">
        <v>494</v>
      </c>
      <c r="C14" s="11272">
        <v>854</v>
      </c>
      <c r="D14" s="11273">
        <v>57.84543325526932</v>
      </c>
      <c r="E14" s="11274"/>
      <c r="F14" s="11275"/>
      <c r="G14" s="11276"/>
      <c r="H14" s="11277"/>
      <c r="I14" s="11278"/>
      <c r="J14" s="11279"/>
      <c r="K14" s="11280"/>
      <c r="L14" s="11281"/>
      <c r="M14" s="11282"/>
      <c r="N14" s="11283"/>
      <c r="O14" s="11284"/>
      <c r="P14" s="11285"/>
      <c r="Q14" s="11286"/>
      <c r="R14" s="11287"/>
      <c r="S14" s="11288"/>
      <c r="T14" s="11289"/>
    </row>
    <row r="15">
      <c r="A15" s="11290" t="s">
        <v>94</v>
      </c>
      <c r="B15" s="11291">
        <v>424</v>
      </c>
      <c r="C15" s="11292">
        <v>730</v>
      </c>
      <c r="D15" s="11293">
        <v>58.082191780821915</v>
      </c>
      <c r="E15" s="11294"/>
      <c r="F15" s="11295"/>
      <c r="G15" s="11296"/>
      <c r="H15" s="11297"/>
      <c r="I15" s="11298"/>
      <c r="J15" s="11299"/>
      <c r="K15" s="11300"/>
      <c r="L15" s="11301"/>
      <c r="M15" s="11302"/>
      <c r="N15" s="11303"/>
      <c r="O15" s="11304"/>
      <c r="P15" s="11305"/>
      <c r="Q15" s="11306"/>
      <c r="R15" s="11307"/>
      <c r="S15" s="11308"/>
      <c r="T15" s="11309"/>
    </row>
    <row r="16">
      <c r="A16" s="11310" t="s">
        <v>95</v>
      </c>
      <c r="B16" s="11311">
        <v>119</v>
      </c>
      <c r="C16" s="11312">
        <v>809</v>
      </c>
      <c r="D16" s="11313">
        <v>14.709517923362176</v>
      </c>
      <c r="E16" s="11314"/>
      <c r="F16" s="11315"/>
      <c r="G16" s="11316"/>
      <c r="H16" s="11317"/>
      <c r="I16" s="11318"/>
      <c r="J16" s="11319"/>
      <c r="K16" s="11320"/>
      <c r="L16" s="11321"/>
      <c r="M16" s="11322"/>
      <c r="N16" s="11323"/>
      <c r="O16" s="11324"/>
      <c r="P16" s="11325"/>
      <c r="Q16" s="11326"/>
      <c r="R16" s="11327"/>
      <c r="S16" s="11328"/>
      <c r="T16" s="11329"/>
    </row>
    <row r="17">
      <c r="A17" s="11330" t="s">
        <v>96</v>
      </c>
      <c r="B17" s="11331">
        <v>297</v>
      </c>
      <c r="C17" s="11332">
        <v>870</v>
      </c>
      <c r="D17" s="11333">
        <v>34.137931034482762</v>
      </c>
      <c r="E17" s="11334"/>
      <c r="F17" s="11335"/>
      <c r="G17" s="11336"/>
      <c r="H17" s="11337"/>
      <c r="I17" s="11338"/>
      <c r="J17" s="11339"/>
      <c r="K17" s="11340"/>
      <c r="L17" s="11341"/>
      <c r="M17" s="11342"/>
      <c r="N17" s="11343"/>
      <c r="O17" s="11344"/>
      <c r="P17" s="11345"/>
      <c r="Q17" s="11346"/>
      <c r="R17" s="11347"/>
      <c r="S17" s="11348"/>
      <c r="T17" s="11349"/>
    </row>
    <row r="18">
      <c r="A18" s="11350" t="s">
        <v>97</v>
      </c>
      <c r="B18" s="11351">
        <v>5428</v>
      </c>
      <c r="C18" s="11352">
        <v>10355</v>
      </c>
      <c r="D18" s="11353">
        <v>52.41912119748914</v>
      </c>
      <c r="E18" s="11354"/>
      <c r="F18" s="11355"/>
      <c r="G18" s="11356"/>
      <c r="H18" s="11357"/>
      <c r="I18" s="11358"/>
      <c r="J18" s="11359"/>
      <c r="K18" s="11360"/>
      <c r="L18" s="11361"/>
      <c r="M18" s="11362"/>
      <c r="N18" s="11363"/>
      <c r="O18" s="11364"/>
      <c r="P18" s="11365"/>
      <c r="Q18" s="11366"/>
      <c r="R18" s="11367"/>
      <c r="S18" s="11368"/>
      <c r="T18" s="11369"/>
    </row>
    <row r="19">
      <c r="A19" s="11370" t="s">
        <v>98</v>
      </c>
      <c r="B19" s="11371"/>
      <c r="C19" s="11372"/>
      <c r="D19" s="11373"/>
      <c r="E19" s="11374"/>
      <c r="F19" s="11375"/>
      <c r="G19" s="11376"/>
      <c r="H19" s="11377"/>
      <c r="I19" s="11378"/>
      <c r="J19" s="11379"/>
      <c r="K19" s="11380"/>
      <c r="L19" s="11381"/>
      <c r="M19" s="11382"/>
      <c r="N19" s="11383"/>
      <c r="O19" s="11384"/>
      <c r="P19" s="11385"/>
      <c r="Q19" s="11386"/>
      <c r="R19" s="11387"/>
      <c r="S19" s="11388"/>
      <c r="T19" s="11389"/>
    </row>
    <row r="20">
      <c r="A20" s="11390" t="s">
        <v>110</v>
      </c>
      <c r="B20" s="11391"/>
      <c r="C20" s="11392"/>
      <c r="D20" s="11393"/>
      <c r="E20" s="11394"/>
      <c r="F20" s="11395"/>
      <c r="G20" s="11396"/>
      <c r="H20" s="11397"/>
      <c r="I20" s="11398"/>
      <c r="J20" s="11399"/>
      <c r="K20" s="11400"/>
      <c r="L20" s="11401"/>
      <c r="M20" s="11402"/>
      <c r="N20" s="11403"/>
      <c r="O20" s="11404"/>
      <c r="P20" s="11405"/>
      <c r="Q20" s="11406"/>
      <c r="R20" s="11407"/>
      <c r="S20" s="11408"/>
      <c r="T20" s="11409"/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6" width="15.453125" style="11410" customWidth="true"/>
  </cols>
  <sheetData>
    <row r="1">
      <c r="A1" s="11411" t="s">
        <v>112</v>
      </c>
      <c r="B1" s="11412"/>
      <c r="C1" s="11413"/>
      <c r="D1" s="11414"/>
      <c r="E1" s="11415"/>
      <c r="F1" s="11416"/>
      <c r="G1" s="11417"/>
      <c r="H1" s="11418"/>
      <c r="I1" s="11419"/>
      <c r="J1" s="11420"/>
      <c r="K1" s="11421"/>
      <c r="L1" s="11422"/>
      <c r="M1" s="11423"/>
      <c r="N1" s="11424"/>
      <c r="O1" s="11425"/>
      <c r="P1" s="11426"/>
      <c r="Q1" s="11427"/>
      <c r="R1" s="11428"/>
      <c r="S1" s="11429"/>
      <c r="T1" s="11430"/>
    </row>
    <row r="2">
      <c r="A2" s="11431"/>
      <c r="B2" s="11432" t="s">
        <v>79</v>
      </c>
      <c r="C2" s="11433" t="s">
        <v>80</v>
      </c>
      <c r="D2" s="11434" t="s">
        <v>81</v>
      </c>
      <c r="E2" s="11435"/>
      <c r="F2" s="11436"/>
      <c r="G2" s="11437"/>
      <c r="H2" s="11438"/>
      <c r="I2" s="11439"/>
      <c r="J2" s="11440"/>
      <c r="K2" s="11441"/>
      <c r="L2" s="11442"/>
      <c r="M2" s="11443"/>
      <c r="N2" s="11444"/>
      <c r="O2" s="11445"/>
      <c r="P2" s="11446"/>
      <c r="Q2" s="11447"/>
      <c r="R2" s="11448"/>
      <c r="S2" s="11449"/>
      <c r="T2" s="11450"/>
    </row>
    <row r="3">
      <c r="A3" s="11451" t="s">
        <v>82</v>
      </c>
      <c r="B3" s="11452"/>
      <c r="C3" s="11453"/>
      <c r="D3" s="11454"/>
      <c r="E3" s="11455"/>
      <c r="F3" s="11456"/>
      <c r="G3" s="11457"/>
      <c r="H3" s="11458"/>
      <c r="I3" s="11459"/>
      <c r="J3" s="11460"/>
      <c r="K3" s="11461"/>
      <c r="L3" s="11462"/>
      <c r="M3" s="11463"/>
      <c r="N3" s="11464"/>
      <c r="O3" s="11465"/>
      <c r="P3" s="11466"/>
      <c r="Q3" s="11467"/>
      <c r="R3" s="11468"/>
      <c r="S3" s="11469"/>
      <c r="T3" s="11470"/>
    </row>
    <row r="4">
      <c r="A4" s="11471" t="s">
        <v>83</v>
      </c>
      <c r="B4" s="11472">
        <v>430</v>
      </c>
      <c r="C4" s="11473">
        <v>555</v>
      </c>
      <c r="D4" s="11474">
        <v>77.477477477477478</v>
      </c>
      <c r="E4" s="11475"/>
      <c r="F4" s="11476"/>
      <c r="G4" s="11477"/>
      <c r="H4" s="11478"/>
      <c r="I4" s="11479"/>
      <c r="J4" s="11480"/>
      <c r="K4" s="11481"/>
      <c r="L4" s="11482"/>
      <c r="M4" s="11483"/>
      <c r="N4" s="11484"/>
      <c r="O4" s="11485"/>
      <c r="P4" s="11486"/>
      <c r="Q4" s="11487"/>
      <c r="R4" s="11488"/>
      <c r="S4" s="11489"/>
      <c r="T4" s="11490"/>
    </row>
    <row r="5">
      <c r="A5" s="11491" t="s">
        <v>84</v>
      </c>
      <c r="B5" s="11492">
        <v>386</v>
      </c>
      <c r="C5" s="11493">
        <v>504</v>
      </c>
      <c r="D5" s="11494">
        <v>76.587301587301596</v>
      </c>
      <c r="E5" s="11495"/>
      <c r="F5" s="11496"/>
      <c r="G5" s="11497"/>
      <c r="H5" s="11498"/>
      <c r="I5" s="11499"/>
      <c r="J5" s="11500"/>
      <c r="K5" s="11501"/>
      <c r="L5" s="11502"/>
      <c r="M5" s="11503"/>
      <c r="N5" s="11504"/>
      <c r="O5" s="11505"/>
      <c r="P5" s="11506"/>
      <c r="Q5" s="11507"/>
      <c r="R5" s="11508"/>
      <c r="S5" s="11509"/>
      <c r="T5" s="11510"/>
    </row>
    <row r="6">
      <c r="A6" s="11511" t="s">
        <v>85</v>
      </c>
      <c r="B6" s="11512">
        <v>404</v>
      </c>
      <c r="C6" s="11513">
        <v>584</v>
      </c>
      <c r="D6" s="11514">
        <v>69.178082191780817</v>
      </c>
      <c r="E6" s="11515"/>
      <c r="F6" s="11516"/>
      <c r="G6" s="11517"/>
      <c r="H6" s="11518"/>
      <c r="I6" s="11519"/>
      <c r="J6" s="11520"/>
      <c r="K6" s="11521"/>
      <c r="L6" s="11522"/>
      <c r="M6" s="11523"/>
      <c r="N6" s="11524"/>
      <c r="O6" s="11525"/>
      <c r="P6" s="11526"/>
      <c r="Q6" s="11527"/>
      <c r="R6" s="11528"/>
      <c r="S6" s="11529"/>
      <c r="T6" s="11530"/>
    </row>
    <row r="7">
      <c r="A7" s="11531" t="s">
        <v>86</v>
      </c>
      <c r="B7" s="11532">
        <v>552</v>
      </c>
      <c r="C7" s="11533">
        <v>697</v>
      </c>
      <c r="D7" s="11534">
        <v>79.196556671449074</v>
      </c>
      <c r="E7" s="11535"/>
      <c r="F7" s="11536"/>
      <c r="G7" s="11537"/>
      <c r="H7" s="11538"/>
      <c r="I7" s="11539"/>
      <c r="J7" s="11540"/>
      <c r="K7" s="11541"/>
      <c r="L7" s="11542"/>
      <c r="M7" s="11543"/>
      <c r="N7" s="11544"/>
      <c r="O7" s="11545"/>
      <c r="P7" s="11546"/>
      <c r="Q7" s="11547"/>
      <c r="R7" s="11548"/>
      <c r="S7" s="11549"/>
      <c r="T7" s="11550"/>
    </row>
    <row r="8">
      <c r="A8" s="11551" t="s">
        <v>87</v>
      </c>
      <c r="B8" s="11552">
        <v>25</v>
      </c>
      <c r="C8" s="11553">
        <v>715</v>
      </c>
      <c r="D8" s="11554">
        <v>3.4965034965034967</v>
      </c>
      <c r="E8" s="11555"/>
      <c r="F8" s="11556"/>
      <c r="G8" s="11557"/>
      <c r="H8" s="11558"/>
      <c r="I8" s="11559"/>
      <c r="J8" s="11560"/>
      <c r="K8" s="11561"/>
      <c r="L8" s="11562"/>
      <c r="M8" s="11563"/>
      <c r="N8" s="11564"/>
      <c r="O8" s="11565"/>
      <c r="P8" s="11566"/>
      <c r="Q8" s="11567"/>
      <c r="R8" s="11568"/>
      <c r="S8" s="11569"/>
      <c r="T8" s="11570"/>
    </row>
    <row r="9">
      <c r="A9" s="11571" t="s">
        <v>88</v>
      </c>
      <c r="B9" s="11572">
        <v>27</v>
      </c>
      <c r="C9" s="11573">
        <v>695</v>
      </c>
      <c r="D9" s="11574">
        <v>3.8848920863309351</v>
      </c>
      <c r="E9" s="11575"/>
      <c r="F9" s="11576"/>
      <c r="G9" s="11577"/>
      <c r="H9" s="11578"/>
      <c r="I9" s="11579"/>
      <c r="J9" s="11580"/>
      <c r="K9" s="11581"/>
      <c r="L9" s="11582"/>
      <c r="M9" s="11583"/>
      <c r="N9" s="11584"/>
      <c r="O9" s="11585"/>
      <c r="P9" s="11586"/>
      <c r="Q9" s="11587"/>
      <c r="R9" s="11588"/>
      <c r="S9" s="11589"/>
      <c r="T9" s="11590"/>
    </row>
    <row r="10">
      <c r="A10" s="11591" t="s">
        <v>89</v>
      </c>
      <c r="B10" s="11592">
        <v>120</v>
      </c>
      <c r="C10" s="11593">
        <v>780</v>
      </c>
      <c r="D10" s="11594">
        <v>15.384615384615385</v>
      </c>
      <c r="E10" s="11595"/>
      <c r="F10" s="11596"/>
      <c r="G10" s="11597"/>
      <c r="H10" s="11598"/>
      <c r="I10" s="11599"/>
      <c r="J10" s="11600"/>
      <c r="K10" s="11601"/>
      <c r="L10" s="11602"/>
      <c r="M10" s="11603"/>
      <c r="N10" s="11604"/>
      <c r="O10" s="11605"/>
      <c r="P10" s="11606"/>
      <c r="Q10" s="11607"/>
      <c r="R10" s="11608"/>
      <c r="S10" s="11609"/>
      <c r="T10" s="11610"/>
    </row>
    <row r="11">
      <c r="A11" s="11611" t="s">
        <v>90</v>
      </c>
      <c r="B11" s="11612">
        <v>24</v>
      </c>
      <c r="C11" s="11613">
        <v>822</v>
      </c>
      <c r="D11" s="11614">
        <v>2.9197080291970803</v>
      </c>
      <c r="E11" s="11615"/>
      <c r="F11" s="11616"/>
      <c r="G11" s="11617"/>
      <c r="H11" s="11618"/>
      <c r="I11" s="11619"/>
      <c r="J11" s="11620"/>
      <c r="K11" s="11621"/>
      <c r="L11" s="11622"/>
      <c r="M11" s="11623"/>
      <c r="N11" s="11624"/>
      <c r="O11" s="11625"/>
      <c r="P11" s="11626"/>
      <c r="Q11" s="11627"/>
      <c r="R11" s="11628"/>
      <c r="S11" s="11629"/>
      <c r="T11" s="11630"/>
    </row>
    <row r="12">
      <c r="A12" s="11631" t="s">
        <v>91</v>
      </c>
      <c r="B12" s="11632">
        <v>15</v>
      </c>
      <c r="C12" s="11633">
        <v>807</v>
      </c>
      <c r="D12" s="11634">
        <v>1.8587360594795539</v>
      </c>
      <c r="E12" s="11635"/>
      <c r="F12" s="11636"/>
      <c r="G12" s="11637"/>
      <c r="H12" s="11638"/>
      <c r="I12" s="11639"/>
      <c r="J12" s="11640"/>
      <c r="K12" s="11641"/>
      <c r="L12" s="11642"/>
      <c r="M12" s="11643"/>
      <c r="N12" s="11644"/>
      <c r="O12" s="11645"/>
      <c r="P12" s="11646"/>
      <c r="Q12" s="11647"/>
      <c r="R12" s="11648"/>
      <c r="S12" s="11649"/>
      <c r="T12" s="11650"/>
    </row>
    <row r="13">
      <c r="A13" s="11651" t="s">
        <v>92</v>
      </c>
      <c r="B13" s="11652">
        <v>42</v>
      </c>
      <c r="C13" s="11653">
        <v>933</v>
      </c>
      <c r="D13" s="11654">
        <v>4.501607717041801</v>
      </c>
      <c r="E13" s="11655"/>
      <c r="F13" s="11656"/>
      <c r="G13" s="11657"/>
      <c r="H13" s="11658"/>
      <c r="I13" s="11659"/>
      <c r="J13" s="11660"/>
      <c r="K13" s="11661"/>
      <c r="L13" s="11662"/>
      <c r="M13" s="11663"/>
      <c r="N13" s="11664"/>
      <c r="O13" s="11665"/>
      <c r="P13" s="11666"/>
      <c r="Q13" s="11667"/>
      <c r="R13" s="11668"/>
      <c r="S13" s="11669"/>
      <c r="T13" s="11670"/>
    </row>
    <row r="14">
      <c r="A14" s="11671" t="s">
        <v>93</v>
      </c>
      <c r="B14" s="11672">
        <v>7</v>
      </c>
      <c r="C14" s="11673">
        <v>854</v>
      </c>
      <c r="D14" s="11674">
        <v>0.81967213114754101</v>
      </c>
      <c r="E14" s="11675"/>
      <c r="F14" s="11676"/>
      <c r="G14" s="11677"/>
      <c r="H14" s="11678"/>
      <c r="I14" s="11679"/>
      <c r="J14" s="11680"/>
      <c r="K14" s="11681"/>
      <c r="L14" s="11682"/>
      <c r="M14" s="11683"/>
      <c r="N14" s="11684"/>
      <c r="O14" s="11685"/>
      <c r="P14" s="11686"/>
      <c r="Q14" s="11687"/>
      <c r="R14" s="11688"/>
      <c r="S14" s="11689"/>
      <c r="T14" s="11690"/>
    </row>
    <row r="15">
      <c r="A15" s="11691" t="s">
        <v>94</v>
      </c>
      <c r="B15" s="11692">
        <v>46</v>
      </c>
      <c r="C15" s="11693">
        <v>730</v>
      </c>
      <c r="D15" s="11694">
        <v>6.3013698630136989</v>
      </c>
      <c r="E15" s="11695"/>
      <c r="F15" s="11696"/>
      <c r="G15" s="11697"/>
      <c r="H15" s="11698"/>
      <c r="I15" s="11699"/>
      <c r="J15" s="11700"/>
      <c r="K15" s="11701"/>
      <c r="L15" s="11702"/>
      <c r="M15" s="11703"/>
      <c r="N15" s="11704"/>
      <c r="O15" s="11705"/>
      <c r="P15" s="11706"/>
      <c r="Q15" s="11707"/>
      <c r="R15" s="11708"/>
      <c r="S15" s="11709"/>
      <c r="T15" s="11710"/>
    </row>
    <row r="16">
      <c r="A16" s="11711" t="s">
        <v>95</v>
      </c>
      <c r="B16" s="11712">
        <v>104</v>
      </c>
      <c r="C16" s="11713">
        <v>809</v>
      </c>
      <c r="D16" s="11714">
        <v>12.855377008652658</v>
      </c>
      <c r="E16" s="11715"/>
      <c r="F16" s="11716"/>
      <c r="G16" s="11717"/>
      <c r="H16" s="11718"/>
      <c r="I16" s="11719"/>
      <c r="J16" s="11720"/>
      <c r="K16" s="11721"/>
      <c r="L16" s="11722"/>
      <c r="M16" s="11723"/>
      <c r="N16" s="11724"/>
      <c r="O16" s="11725"/>
      <c r="P16" s="11726"/>
      <c r="Q16" s="11727"/>
      <c r="R16" s="11728"/>
      <c r="S16" s="11729"/>
      <c r="T16" s="11730"/>
    </row>
    <row r="17">
      <c r="A17" s="11731" t="s">
        <v>96</v>
      </c>
      <c r="B17" s="11732">
        <v>225</v>
      </c>
      <c r="C17" s="11733">
        <v>870</v>
      </c>
      <c r="D17" s="11734">
        <v>25.862068965517242</v>
      </c>
      <c r="E17" s="11735"/>
      <c r="F17" s="11736"/>
      <c r="G17" s="11737"/>
      <c r="H17" s="11738"/>
      <c r="I17" s="11739"/>
      <c r="J17" s="11740"/>
      <c r="K17" s="11741"/>
      <c r="L17" s="11742"/>
      <c r="M17" s="11743"/>
      <c r="N17" s="11744"/>
      <c r="O17" s="11745"/>
      <c r="P17" s="11746"/>
      <c r="Q17" s="11747"/>
      <c r="R17" s="11748"/>
      <c r="S17" s="11749"/>
      <c r="T17" s="11750"/>
    </row>
    <row r="18">
      <c r="A18" s="11751" t="s">
        <v>97</v>
      </c>
      <c r="B18" s="11752">
        <v>2407</v>
      </c>
      <c r="C18" s="11753">
        <v>10355</v>
      </c>
      <c r="D18" s="11754">
        <v>23.244809270883632</v>
      </c>
      <c r="E18" s="11755"/>
      <c r="F18" s="11756"/>
      <c r="G18" s="11757"/>
      <c r="H18" s="11758"/>
      <c r="I18" s="11759"/>
      <c r="J18" s="11760"/>
      <c r="K18" s="11761"/>
      <c r="L18" s="11762"/>
      <c r="M18" s="11763"/>
      <c r="N18" s="11764"/>
      <c r="O18" s="11765"/>
      <c r="P18" s="11766"/>
      <c r="Q18" s="11767"/>
      <c r="R18" s="11768"/>
      <c r="S18" s="11769"/>
      <c r="T18" s="11770"/>
    </row>
    <row r="19">
      <c r="A19" s="11771" t="s">
        <v>98</v>
      </c>
      <c r="B19" s="11772"/>
      <c r="C19" s="11773"/>
      <c r="D19" s="11774"/>
      <c r="E19" s="11775"/>
      <c r="F19" s="11776"/>
      <c r="G19" s="11777"/>
      <c r="H19" s="11778"/>
      <c r="I19" s="11779"/>
      <c r="J19" s="11780"/>
      <c r="K19" s="11781"/>
      <c r="L19" s="11782"/>
      <c r="M19" s="11783"/>
      <c r="N19" s="11784"/>
      <c r="O19" s="11785"/>
      <c r="P19" s="11786"/>
      <c r="Q19" s="11787"/>
      <c r="R19" s="11788"/>
      <c r="S19" s="11789"/>
      <c r="T19" s="11790"/>
    </row>
    <row r="20">
      <c r="A20" s="11791" t="s">
        <v>113</v>
      </c>
      <c r="B20" s="11792"/>
      <c r="C20" s="11793"/>
      <c r="D20" s="11794"/>
      <c r="E20" s="11795"/>
      <c r="F20" s="11796"/>
      <c r="G20" s="11797"/>
      <c r="H20" s="11798"/>
      <c r="I20" s="11799"/>
      <c r="J20" s="11800"/>
      <c r="K20" s="11801"/>
      <c r="L20" s="11802"/>
      <c r="M20" s="11803"/>
      <c r="N20" s="11804"/>
      <c r="O20" s="11805"/>
      <c r="P20" s="11806"/>
      <c r="Q20" s="11807"/>
      <c r="R20" s="11808"/>
      <c r="S20" s="11809"/>
      <c r="T20" s="11810"/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6" width="15.453125" style="11811" customWidth="true"/>
  </cols>
  <sheetData>
    <row r="1">
      <c r="A1" s="11812" t="s">
        <v>114</v>
      </c>
      <c r="B1" s="11813"/>
      <c r="C1" s="11814"/>
      <c r="D1" s="11815"/>
      <c r="E1" s="11816"/>
      <c r="F1" s="11817"/>
      <c r="G1" s="11818"/>
      <c r="H1" s="11819"/>
      <c r="I1" s="11820"/>
      <c r="J1" s="11821"/>
      <c r="K1" s="11822"/>
      <c r="L1" s="11823"/>
      <c r="M1" s="11824"/>
      <c r="N1" s="11825"/>
      <c r="O1" s="11826"/>
      <c r="P1" s="11827"/>
      <c r="Q1" s="11828"/>
      <c r="R1" s="11829"/>
      <c r="S1" s="11830"/>
      <c r="T1" s="11831"/>
    </row>
    <row r="2">
      <c r="A2" s="11832"/>
      <c r="B2" s="11833" t="s">
        <v>79</v>
      </c>
      <c r="C2" s="11834" t="s">
        <v>80</v>
      </c>
      <c r="D2" s="11835" t="s">
        <v>81</v>
      </c>
      <c r="E2" s="11836"/>
      <c r="F2" s="11837"/>
      <c r="G2" s="11838"/>
      <c r="H2" s="11839"/>
      <c r="I2" s="11840"/>
      <c r="J2" s="11841"/>
      <c r="K2" s="11842"/>
      <c r="L2" s="11843"/>
      <c r="M2" s="11844"/>
      <c r="N2" s="11845"/>
      <c r="O2" s="11846"/>
      <c r="P2" s="11847"/>
      <c r="Q2" s="11848"/>
      <c r="R2" s="11849"/>
      <c r="S2" s="11850"/>
      <c r="T2" s="11851"/>
    </row>
    <row r="3">
      <c r="A3" s="11852" t="s">
        <v>82</v>
      </c>
      <c r="B3" s="11853"/>
      <c r="C3" s="11854"/>
      <c r="D3" s="11855"/>
      <c r="E3" s="11856"/>
      <c r="F3" s="11857"/>
      <c r="G3" s="11858"/>
      <c r="H3" s="11859"/>
      <c r="I3" s="11860"/>
      <c r="J3" s="11861"/>
      <c r="K3" s="11862"/>
      <c r="L3" s="11863"/>
      <c r="M3" s="11864"/>
      <c r="N3" s="11865"/>
      <c r="O3" s="11866"/>
      <c r="P3" s="11867"/>
      <c r="Q3" s="11868"/>
      <c r="R3" s="11869"/>
      <c r="S3" s="11870"/>
      <c r="T3" s="11871"/>
    </row>
    <row r="4">
      <c r="A4" s="11872" t="s">
        <v>83</v>
      </c>
      <c r="B4" s="11873">
        <v>430</v>
      </c>
      <c r="C4" s="11874">
        <v>555</v>
      </c>
      <c r="D4" s="11875">
        <v>77.477477477477478</v>
      </c>
      <c r="E4" s="11876"/>
      <c r="F4" s="11877"/>
      <c r="G4" s="11878"/>
      <c r="H4" s="11879"/>
      <c r="I4" s="11880"/>
      <c r="J4" s="11881"/>
      <c r="K4" s="11882"/>
      <c r="L4" s="11883"/>
      <c r="M4" s="11884"/>
      <c r="N4" s="11885"/>
      <c r="O4" s="11886"/>
      <c r="P4" s="11887"/>
      <c r="Q4" s="11888"/>
      <c r="R4" s="11889"/>
      <c r="S4" s="11890"/>
      <c r="T4" s="11891"/>
    </row>
    <row r="5">
      <c r="A5" s="11892" t="s">
        <v>84</v>
      </c>
      <c r="B5" s="11893">
        <v>386</v>
      </c>
      <c r="C5" s="11894">
        <v>504</v>
      </c>
      <c r="D5" s="11895">
        <v>76.587301587301596</v>
      </c>
      <c r="E5" s="11896"/>
      <c r="F5" s="11897"/>
      <c r="G5" s="11898"/>
      <c r="H5" s="11899"/>
      <c r="I5" s="11900"/>
      <c r="J5" s="11901"/>
      <c r="K5" s="11902"/>
      <c r="L5" s="11903"/>
      <c r="M5" s="11904"/>
      <c r="N5" s="11905"/>
      <c r="O5" s="11906"/>
      <c r="P5" s="11907"/>
      <c r="Q5" s="11908"/>
      <c r="R5" s="11909"/>
      <c r="S5" s="11910"/>
      <c r="T5" s="11911"/>
    </row>
    <row r="6">
      <c r="A6" s="11912" t="s">
        <v>85</v>
      </c>
      <c r="B6" s="11913">
        <v>404</v>
      </c>
      <c r="C6" s="11914">
        <v>584</v>
      </c>
      <c r="D6" s="11915">
        <v>69.178082191780817</v>
      </c>
      <c r="E6" s="11916"/>
      <c r="F6" s="11917"/>
      <c r="G6" s="11918"/>
      <c r="H6" s="11919"/>
      <c r="I6" s="11920"/>
      <c r="J6" s="11921"/>
      <c r="K6" s="11922"/>
      <c r="L6" s="11923"/>
      <c r="M6" s="11924"/>
      <c r="N6" s="11925"/>
      <c r="O6" s="11926"/>
      <c r="P6" s="11927"/>
      <c r="Q6" s="11928"/>
      <c r="R6" s="11929"/>
      <c r="S6" s="11930"/>
      <c r="T6" s="11931"/>
    </row>
    <row r="7">
      <c r="A7" s="11932" t="s">
        <v>86</v>
      </c>
      <c r="B7" s="11933">
        <v>552</v>
      </c>
      <c r="C7" s="11934">
        <v>697</v>
      </c>
      <c r="D7" s="11935">
        <v>79.196556671449074</v>
      </c>
      <c r="E7" s="11936"/>
      <c r="F7" s="11937"/>
      <c r="G7" s="11938"/>
      <c r="H7" s="11939"/>
      <c r="I7" s="11940"/>
      <c r="J7" s="11941"/>
      <c r="K7" s="11942"/>
      <c r="L7" s="11943"/>
      <c r="M7" s="11944"/>
      <c r="N7" s="11945"/>
      <c r="O7" s="11946"/>
      <c r="P7" s="11947"/>
      <c r="Q7" s="11948"/>
      <c r="R7" s="11949"/>
      <c r="S7" s="11950"/>
      <c r="T7" s="11951"/>
    </row>
    <row r="8">
      <c r="A8" s="11952" t="s">
        <v>87</v>
      </c>
      <c r="B8" s="11953">
        <v>26</v>
      </c>
      <c r="C8" s="11954">
        <v>715</v>
      </c>
      <c r="D8" s="11955">
        <v>3.6363636363636363</v>
      </c>
      <c r="E8" s="11956"/>
      <c r="F8" s="11957"/>
      <c r="G8" s="11958"/>
      <c r="H8" s="11959"/>
      <c r="I8" s="11960"/>
      <c r="J8" s="11961"/>
      <c r="K8" s="11962"/>
      <c r="L8" s="11963"/>
      <c r="M8" s="11964"/>
      <c r="N8" s="11965"/>
      <c r="O8" s="11966"/>
      <c r="P8" s="11967"/>
      <c r="Q8" s="11968"/>
      <c r="R8" s="11969"/>
      <c r="S8" s="11970"/>
      <c r="T8" s="11971"/>
    </row>
    <row r="9">
      <c r="A9" s="11972" t="s">
        <v>88</v>
      </c>
      <c r="B9" s="11973">
        <v>27</v>
      </c>
      <c r="C9" s="11974">
        <v>695</v>
      </c>
      <c r="D9" s="11975">
        <v>3.8848920863309351</v>
      </c>
      <c r="E9" s="11976"/>
      <c r="F9" s="11977"/>
      <c r="G9" s="11978"/>
      <c r="H9" s="11979"/>
      <c r="I9" s="11980"/>
      <c r="J9" s="11981"/>
      <c r="K9" s="11982"/>
      <c r="L9" s="11983"/>
      <c r="M9" s="11984"/>
      <c r="N9" s="11985"/>
      <c r="O9" s="11986"/>
      <c r="P9" s="11987"/>
      <c r="Q9" s="11988"/>
      <c r="R9" s="11989"/>
      <c r="S9" s="11990"/>
      <c r="T9" s="11991"/>
    </row>
    <row r="10">
      <c r="A10" s="11992" t="s">
        <v>89</v>
      </c>
      <c r="B10" s="11993">
        <v>120</v>
      </c>
      <c r="C10" s="11994">
        <v>780</v>
      </c>
      <c r="D10" s="11995">
        <v>15.384615384615385</v>
      </c>
      <c r="E10" s="11996"/>
      <c r="F10" s="11997"/>
      <c r="G10" s="11998"/>
      <c r="H10" s="11999"/>
      <c r="I10" s="12000"/>
      <c r="J10" s="12001"/>
      <c r="K10" s="12002"/>
      <c r="L10" s="12003"/>
      <c r="M10" s="12004"/>
      <c r="N10" s="12005"/>
      <c r="O10" s="12006"/>
      <c r="P10" s="12007"/>
      <c r="Q10" s="12008"/>
      <c r="R10" s="12009"/>
      <c r="S10" s="12010"/>
      <c r="T10" s="12011"/>
    </row>
    <row r="11">
      <c r="A11" s="12012" t="s">
        <v>90</v>
      </c>
      <c r="B11" s="12013">
        <v>24</v>
      </c>
      <c r="C11" s="12014">
        <v>822</v>
      </c>
      <c r="D11" s="12015">
        <v>2.9197080291970803</v>
      </c>
      <c r="E11" s="12016"/>
      <c r="F11" s="12017"/>
      <c r="G11" s="12018"/>
      <c r="H11" s="12019"/>
      <c r="I11" s="12020"/>
      <c r="J11" s="12021"/>
      <c r="K11" s="12022"/>
      <c r="L11" s="12023"/>
      <c r="M11" s="12024"/>
      <c r="N11" s="12025"/>
      <c r="O11" s="12026"/>
      <c r="P11" s="12027"/>
      <c r="Q11" s="12028"/>
      <c r="R11" s="12029"/>
      <c r="S11" s="12030"/>
      <c r="T11" s="12031"/>
    </row>
    <row r="12">
      <c r="A12" s="12032" t="s">
        <v>91</v>
      </c>
      <c r="B12" s="12033">
        <v>15</v>
      </c>
      <c r="C12" s="12034">
        <v>807</v>
      </c>
      <c r="D12" s="12035">
        <v>1.8587360594795539</v>
      </c>
      <c r="E12" s="12036"/>
      <c r="F12" s="12037"/>
      <c r="G12" s="12038"/>
      <c r="H12" s="12039"/>
      <c r="I12" s="12040"/>
      <c r="J12" s="12041"/>
      <c r="K12" s="12042"/>
      <c r="L12" s="12043"/>
      <c r="M12" s="12044"/>
      <c r="N12" s="12045"/>
      <c r="O12" s="12046"/>
      <c r="P12" s="12047"/>
      <c r="Q12" s="12048"/>
      <c r="R12" s="12049"/>
      <c r="S12" s="12050"/>
      <c r="T12" s="12051"/>
    </row>
    <row r="13">
      <c r="A13" s="12052" t="s">
        <v>92</v>
      </c>
      <c r="B13" s="12053">
        <v>43</v>
      </c>
      <c r="C13" s="12054">
        <v>933</v>
      </c>
      <c r="D13" s="12055">
        <v>4.6087888531618439</v>
      </c>
      <c r="E13" s="12056"/>
      <c r="F13" s="12057"/>
      <c r="G13" s="12058"/>
      <c r="H13" s="12059"/>
      <c r="I13" s="12060"/>
      <c r="J13" s="12061"/>
      <c r="K13" s="12062"/>
      <c r="L13" s="12063"/>
      <c r="M13" s="12064"/>
      <c r="N13" s="12065"/>
      <c r="O13" s="12066"/>
      <c r="P13" s="12067"/>
      <c r="Q13" s="12068"/>
      <c r="R13" s="12069"/>
      <c r="S13" s="12070"/>
      <c r="T13" s="12071"/>
    </row>
    <row r="14">
      <c r="A14" s="12072" t="s">
        <v>93</v>
      </c>
      <c r="B14" s="12073">
        <v>7</v>
      </c>
      <c r="C14" s="12074">
        <v>854</v>
      </c>
      <c r="D14" s="12075">
        <v>0.81967213114754101</v>
      </c>
      <c r="E14" s="12076"/>
      <c r="F14" s="12077"/>
      <c r="G14" s="12078"/>
      <c r="H14" s="12079"/>
      <c r="I14" s="12080"/>
      <c r="J14" s="12081"/>
      <c r="K14" s="12082"/>
      <c r="L14" s="12083"/>
      <c r="M14" s="12084"/>
      <c r="N14" s="12085"/>
      <c r="O14" s="12086"/>
      <c r="P14" s="12087"/>
      <c r="Q14" s="12088"/>
      <c r="R14" s="12089"/>
      <c r="S14" s="12090"/>
      <c r="T14" s="12091"/>
    </row>
    <row r="15">
      <c r="A15" s="12092" t="s">
        <v>94</v>
      </c>
      <c r="B15" s="12093">
        <v>46</v>
      </c>
      <c r="C15" s="12094">
        <v>730</v>
      </c>
      <c r="D15" s="12095">
        <v>6.3013698630136989</v>
      </c>
      <c r="E15" s="12096"/>
      <c r="F15" s="12097"/>
      <c r="G15" s="12098"/>
      <c r="H15" s="12099"/>
      <c r="I15" s="12100"/>
      <c r="J15" s="12101"/>
      <c r="K15" s="12102"/>
      <c r="L15" s="12103"/>
      <c r="M15" s="12104"/>
      <c r="N15" s="12105"/>
      <c r="O15" s="12106"/>
      <c r="P15" s="12107"/>
      <c r="Q15" s="12108"/>
      <c r="R15" s="12109"/>
      <c r="S15" s="12110"/>
      <c r="T15" s="12111"/>
    </row>
    <row r="16">
      <c r="A16" s="12112" t="s">
        <v>95</v>
      </c>
      <c r="B16" s="12113">
        <v>104</v>
      </c>
      <c r="C16" s="12114">
        <v>809</v>
      </c>
      <c r="D16" s="12115">
        <v>12.855377008652658</v>
      </c>
      <c r="E16" s="12116"/>
      <c r="F16" s="12117"/>
      <c r="G16" s="12118"/>
      <c r="H16" s="12119"/>
      <c r="I16" s="12120"/>
      <c r="J16" s="12121"/>
      <c r="K16" s="12122"/>
      <c r="L16" s="12123"/>
      <c r="M16" s="12124"/>
      <c r="N16" s="12125"/>
      <c r="O16" s="12126"/>
      <c r="P16" s="12127"/>
      <c r="Q16" s="12128"/>
      <c r="R16" s="12129"/>
      <c r="S16" s="12130"/>
      <c r="T16" s="12131"/>
    </row>
    <row r="17">
      <c r="A17" s="12132" t="s">
        <v>96</v>
      </c>
      <c r="B17" s="12133">
        <v>225</v>
      </c>
      <c r="C17" s="12134">
        <v>870</v>
      </c>
      <c r="D17" s="12135">
        <v>25.862068965517242</v>
      </c>
      <c r="E17" s="12136"/>
      <c r="F17" s="12137"/>
      <c r="G17" s="12138"/>
      <c r="H17" s="12139"/>
      <c r="I17" s="12140"/>
      <c r="J17" s="12141"/>
      <c r="K17" s="12142"/>
      <c r="L17" s="12143"/>
      <c r="M17" s="12144"/>
      <c r="N17" s="12145"/>
      <c r="O17" s="12146"/>
      <c r="P17" s="12147"/>
      <c r="Q17" s="12148"/>
      <c r="R17" s="12149"/>
      <c r="S17" s="12150"/>
      <c r="T17" s="12151"/>
    </row>
    <row r="18">
      <c r="A18" s="12152" t="s">
        <v>97</v>
      </c>
      <c r="B18" s="12153">
        <v>2409</v>
      </c>
      <c r="C18" s="12154">
        <v>10355</v>
      </c>
      <c r="D18" s="12155">
        <v>23.264123611781748</v>
      </c>
      <c r="E18" s="12156"/>
      <c r="F18" s="12157"/>
      <c r="G18" s="12158"/>
      <c r="H18" s="12159"/>
      <c r="I18" s="12160"/>
      <c r="J18" s="12161"/>
      <c r="K18" s="12162"/>
      <c r="L18" s="12163"/>
      <c r="M18" s="12164"/>
      <c r="N18" s="12165"/>
      <c r="O18" s="12166"/>
      <c r="P18" s="12167"/>
      <c r="Q18" s="12168"/>
      <c r="R18" s="12169"/>
      <c r="S18" s="12170"/>
      <c r="T18" s="12171"/>
    </row>
    <row r="19">
      <c r="A19" s="12172" t="s">
        <v>98</v>
      </c>
      <c r="B19" s="12173"/>
      <c r="C19" s="12174"/>
      <c r="D19" s="12175"/>
      <c r="E19" s="12176"/>
      <c r="F19" s="12177"/>
      <c r="G19" s="12178"/>
      <c r="H19" s="12179"/>
      <c r="I19" s="12180"/>
      <c r="J19" s="12181"/>
      <c r="K19" s="12182"/>
      <c r="L19" s="12183"/>
      <c r="M19" s="12184"/>
      <c r="N19" s="12185"/>
      <c r="O19" s="12186"/>
      <c r="P19" s="12187"/>
      <c r="Q19" s="12188"/>
      <c r="R19" s="12189"/>
      <c r="S19" s="12190"/>
      <c r="T19" s="12191"/>
    </row>
    <row r="20">
      <c r="A20" s="12192" t="s">
        <v>113</v>
      </c>
      <c r="B20" s="12193"/>
      <c r="C20" s="12194"/>
      <c r="D20" s="12195"/>
      <c r="E20" s="12196"/>
      <c r="F20" s="12197"/>
      <c r="G20" s="12198"/>
      <c r="H20" s="12199"/>
      <c r="I20" s="12200"/>
      <c r="J20" s="12201"/>
      <c r="K20" s="12202"/>
      <c r="L20" s="12203"/>
      <c r="M20" s="12204"/>
      <c r="N20" s="12205"/>
      <c r="O20" s="12206"/>
      <c r="P20" s="12207"/>
      <c r="Q20" s="12208"/>
      <c r="R20" s="12209"/>
      <c r="S20" s="12210"/>
      <c r="T20" s="12211"/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1"/>
  <sheetViews>
    <sheetView workbookViewId="0"/>
  </sheetViews>
  <sheetFormatPr defaultRowHeight="15"/>
  <cols>
    <col min="1" max="6" width="15.453125" style="12212" customWidth="true"/>
  </cols>
  <sheetData>
    <row r="1">
      <c r="A1" s="12213" t="s">
        <v>115</v>
      </c>
      <c r="B1" s="12214"/>
      <c r="C1" s="12215"/>
      <c r="D1" s="12216"/>
      <c r="E1" s="12217"/>
      <c r="F1" s="12218"/>
      <c r="G1" s="12219"/>
      <c r="H1" s="12220"/>
      <c r="I1" s="12221"/>
      <c r="J1" s="12222"/>
      <c r="K1" s="12223"/>
      <c r="L1" s="12224"/>
      <c r="M1" s="12225"/>
      <c r="N1" s="12226"/>
      <c r="O1" s="12227"/>
      <c r="P1" s="12228"/>
      <c r="Q1" s="12229"/>
      <c r="R1" s="12230"/>
      <c r="S1" s="12231"/>
      <c r="T1" s="12232"/>
    </row>
    <row r="2">
      <c r="A2" s="12233"/>
      <c r="B2" s="12234" t="s">
        <v>79</v>
      </c>
      <c r="C2" s="12235" t="s">
        <v>80</v>
      </c>
      <c r="D2" s="12236" t="s">
        <v>81</v>
      </c>
      <c r="E2" s="12237"/>
      <c r="F2" s="12238"/>
      <c r="G2" s="12239"/>
      <c r="H2" s="12240"/>
      <c r="I2" s="12241"/>
      <c r="J2" s="12242"/>
      <c r="K2" s="12243"/>
      <c r="L2" s="12244"/>
      <c r="M2" s="12245"/>
      <c r="N2" s="12246"/>
      <c r="O2" s="12247"/>
      <c r="P2" s="12248"/>
      <c r="Q2" s="12249"/>
      <c r="R2" s="12250"/>
      <c r="S2" s="12251"/>
      <c r="T2" s="12252"/>
    </row>
    <row r="3">
      <c r="A3" s="12253" t="s">
        <v>82</v>
      </c>
      <c r="B3" s="12254"/>
      <c r="C3" s="12255"/>
      <c r="D3" s="12256"/>
      <c r="E3" s="12257"/>
      <c r="F3" s="12258"/>
      <c r="G3" s="12259"/>
      <c r="H3" s="12260"/>
      <c r="I3" s="12261"/>
      <c r="J3" s="12262"/>
      <c r="K3" s="12263"/>
      <c r="L3" s="12264"/>
      <c r="M3" s="12265"/>
      <c r="N3" s="12266"/>
      <c r="O3" s="12267"/>
      <c r="P3" s="12268"/>
      <c r="Q3" s="12269"/>
      <c r="R3" s="12270"/>
      <c r="S3" s="12271"/>
      <c r="T3" s="12272"/>
    </row>
    <row r="4">
      <c r="A4" s="12273" t="s">
        <v>83</v>
      </c>
      <c r="B4" s="12274">
        <v>555</v>
      </c>
      <c r="C4" s="12275">
        <v>555</v>
      </c>
      <c r="D4" s="12276">
        <v>100</v>
      </c>
      <c r="E4" s="12277"/>
      <c r="F4" s="12278"/>
      <c r="G4" s="12279"/>
      <c r="H4" s="12280"/>
      <c r="I4" s="12281"/>
      <c r="J4" s="12282"/>
      <c r="K4" s="12283"/>
      <c r="L4" s="12284"/>
      <c r="M4" s="12285"/>
      <c r="N4" s="12286"/>
      <c r="O4" s="12287"/>
      <c r="P4" s="12288"/>
      <c r="Q4" s="12289"/>
      <c r="R4" s="12290"/>
      <c r="S4" s="12291"/>
      <c r="T4" s="12292"/>
    </row>
    <row r="5">
      <c r="A5" s="12293" t="s">
        <v>84</v>
      </c>
      <c r="B5" s="12294">
        <v>504</v>
      </c>
      <c r="C5" s="12295">
        <v>504</v>
      </c>
      <c r="D5" s="12296">
        <v>100</v>
      </c>
      <c r="E5" s="12297"/>
      <c r="F5" s="12298"/>
      <c r="G5" s="12299"/>
      <c r="H5" s="12300"/>
      <c r="I5" s="12301"/>
      <c r="J5" s="12302"/>
      <c r="K5" s="12303"/>
      <c r="L5" s="12304"/>
      <c r="M5" s="12305"/>
      <c r="N5" s="12306"/>
      <c r="O5" s="12307"/>
      <c r="P5" s="12308"/>
      <c r="Q5" s="12309"/>
      <c r="R5" s="12310"/>
      <c r="S5" s="12311"/>
      <c r="T5" s="12312"/>
    </row>
    <row r="6">
      <c r="A6" s="12313" t="s">
        <v>85</v>
      </c>
      <c r="B6" s="12314">
        <v>584</v>
      </c>
      <c r="C6" s="12315">
        <v>584</v>
      </c>
      <c r="D6" s="12316">
        <v>100</v>
      </c>
      <c r="E6" s="12317"/>
      <c r="F6" s="12318"/>
      <c r="G6" s="12319"/>
      <c r="H6" s="12320"/>
      <c r="I6" s="12321"/>
      <c r="J6" s="12322"/>
      <c r="K6" s="12323"/>
      <c r="L6" s="12324"/>
      <c r="M6" s="12325"/>
      <c r="N6" s="12326"/>
      <c r="O6" s="12327"/>
      <c r="P6" s="12328"/>
      <c r="Q6" s="12329"/>
      <c r="R6" s="12330"/>
      <c r="S6" s="12331"/>
      <c r="T6" s="12332"/>
    </row>
    <row r="7">
      <c r="A7" s="12333" t="s">
        <v>86</v>
      </c>
      <c r="B7" s="12334">
        <v>697</v>
      </c>
      <c r="C7" s="12335">
        <v>697</v>
      </c>
      <c r="D7" s="12336">
        <v>100</v>
      </c>
      <c r="E7" s="12337"/>
      <c r="F7" s="12338"/>
      <c r="G7" s="12339"/>
      <c r="H7" s="12340"/>
      <c r="I7" s="12341"/>
      <c r="J7" s="12342"/>
      <c r="K7" s="12343"/>
      <c r="L7" s="12344"/>
      <c r="M7" s="12345"/>
      <c r="N7" s="12346"/>
      <c r="O7" s="12347"/>
      <c r="P7" s="12348"/>
      <c r="Q7" s="12349"/>
      <c r="R7" s="12350"/>
      <c r="S7" s="12351"/>
      <c r="T7" s="12352"/>
    </row>
    <row r="8">
      <c r="A8" s="12353" t="s">
        <v>87</v>
      </c>
      <c r="B8" s="12354">
        <v>715</v>
      </c>
      <c r="C8" s="12355">
        <v>715</v>
      </c>
      <c r="D8" s="12356">
        <v>100</v>
      </c>
      <c r="E8" s="12357"/>
      <c r="F8" s="12358"/>
      <c r="G8" s="12359"/>
      <c r="H8" s="12360"/>
      <c r="I8" s="12361"/>
      <c r="J8" s="12362"/>
      <c r="K8" s="12363"/>
      <c r="L8" s="12364"/>
      <c r="M8" s="12365"/>
      <c r="N8" s="12366"/>
      <c r="O8" s="12367"/>
      <c r="P8" s="12368"/>
      <c r="Q8" s="12369"/>
      <c r="R8" s="12370"/>
      <c r="S8" s="12371"/>
      <c r="T8" s="12372"/>
    </row>
    <row r="9">
      <c r="A9" s="12373" t="s">
        <v>88</v>
      </c>
      <c r="B9" s="12374">
        <v>695</v>
      </c>
      <c r="C9" s="12375">
        <v>695</v>
      </c>
      <c r="D9" s="12376">
        <v>100</v>
      </c>
      <c r="E9" s="12377"/>
      <c r="F9" s="12378"/>
      <c r="G9" s="12379"/>
      <c r="H9" s="12380"/>
      <c r="I9" s="12381"/>
      <c r="J9" s="12382"/>
      <c r="K9" s="12383"/>
      <c r="L9" s="12384"/>
      <c r="M9" s="12385"/>
      <c r="N9" s="12386"/>
      <c r="O9" s="12387"/>
      <c r="P9" s="12388"/>
      <c r="Q9" s="12389"/>
      <c r="R9" s="12390"/>
      <c r="S9" s="12391"/>
      <c r="T9" s="12392"/>
    </row>
    <row r="10">
      <c r="A10" s="12393" t="s">
        <v>89</v>
      </c>
      <c r="B10" s="12394">
        <v>780</v>
      </c>
      <c r="C10" s="12395">
        <v>780</v>
      </c>
      <c r="D10" s="12396">
        <v>100</v>
      </c>
      <c r="E10" s="12397"/>
      <c r="F10" s="12398"/>
      <c r="G10" s="12399"/>
      <c r="H10" s="12400"/>
      <c r="I10" s="12401"/>
      <c r="J10" s="12402"/>
      <c r="K10" s="12403"/>
      <c r="L10" s="12404"/>
      <c r="M10" s="12405"/>
      <c r="N10" s="12406"/>
      <c r="O10" s="12407"/>
      <c r="P10" s="12408"/>
      <c r="Q10" s="12409"/>
      <c r="R10" s="12410"/>
      <c r="S10" s="12411"/>
      <c r="T10" s="12412"/>
    </row>
    <row r="11">
      <c r="A11" s="12413" t="s">
        <v>90</v>
      </c>
      <c r="B11" s="12414">
        <v>822</v>
      </c>
      <c r="C11" s="12415">
        <v>822</v>
      </c>
      <c r="D11" s="12416">
        <v>100</v>
      </c>
      <c r="E11" s="12417"/>
      <c r="F11" s="12418"/>
      <c r="G11" s="12419"/>
      <c r="H11" s="12420"/>
      <c r="I11" s="12421"/>
      <c r="J11" s="12422"/>
      <c r="K11" s="12423"/>
      <c r="L11" s="12424"/>
      <c r="M11" s="12425"/>
      <c r="N11" s="12426"/>
      <c r="O11" s="12427"/>
      <c r="P11" s="12428"/>
      <c r="Q11" s="12429"/>
      <c r="R11" s="12430"/>
      <c r="S11" s="12431"/>
      <c r="T11" s="12432"/>
    </row>
    <row r="12">
      <c r="A12" s="12433" t="s">
        <v>91</v>
      </c>
      <c r="B12" s="12434">
        <v>807</v>
      </c>
      <c r="C12" s="12435">
        <v>807</v>
      </c>
      <c r="D12" s="12436">
        <v>100</v>
      </c>
      <c r="E12" s="12437"/>
      <c r="F12" s="12438"/>
      <c r="G12" s="12439"/>
      <c r="H12" s="12440"/>
      <c r="I12" s="12441"/>
      <c r="J12" s="12442"/>
      <c r="K12" s="12443"/>
      <c r="L12" s="12444"/>
      <c r="M12" s="12445"/>
      <c r="N12" s="12446"/>
      <c r="O12" s="12447"/>
      <c r="P12" s="12448"/>
      <c r="Q12" s="12449"/>
      <c r="R12" s="12450"/>
      <c r="S12" s="12451"/>
      <c r="T12" s="12452"/>
    </row>
    <row r="13">
      <c r="A13" s="12453" t="s">
        <v>92</v>
      </c>
      <c r="B13" s="12454">
        <v>933</v>
      </c>
      <c r="C13" s="12455">
        <v>933</v>
      </c>
      <c r="D13" s="12456">
        <v>100</v>
      </c>
      <c r="E13" s="12457"/>
      <c r="F13" s="12458"/>
      <c r="G13" s="12459"/>
      <c r="H13" s="12460"/>
      <c r="I13" s="12461"/>
      <c r="J13" s="12462"/>
      <c r="K13" s="12463"/>
      <c r="L13" s="12464"/>
      <c r="M13" s="12465"/>
      <c r="N13" s="12466"/>
      <c r="O13" s="12467"/>
      <c r="P13" s="12468"/>
      <c r="Q13" s="12469"/>
      <c r="R13" s="12470"/>
      <c r="S13" s="12471"/>
      <c r="T13" s="12472"/>
    </row>
    <row r="14">
      <c r="A14" s="12473" t="s">
        <v>93</v>
      </c>
      <c r="B14" s="12474">
        <v>293</v>
      </c>
      <c r="C14" s="12475">
        <v>854</v>
      </c>
      <c r="D14" s="12476">
        <v>34.30913348946136</v>
      </c>
      <c r="E14" s="12477"/>
      <c r="F14" s="12478"/>
      <c r="G14" s="12479"/>
      <c r="H14" s="12480"/>
      <c r="I14" s="12481"/>
      <c r="J14" s="12482"/>
      <c r="K14" s="12483"/>
      <c r="L14" s="12484"/>
      <c r="M14" s="12485"/>
      <c r="N14" s="12486"/>
      <c r="O14" s="12487"/>
      <c r="P14" s="12488"/>
      <c r="Q14" s="12489"/>
      <c r="R14" s="12490"/>
      <c r="S14" s="12491"/>
      <c r="T14" s="12492"/>
    </row>
    <row r="15">
      <c r="A15" s="12493" t="s">
        <v>94</v>
      </c>
      <c r="B15" s="12494">
        <v>201</v>
      </c>
      <c r="C15" s="12495">
        <v>730</v>
      </c>
      <c r="D15" s="12496">
        <v>27.534246575342465</v>
      </c>
      <c r="E15" s="12497"/>
      <c r="F15" s="12498"/>
      <c r="G15" s="12499"/>
      <c r="H15" s="12500"/>
      <c r="I15" s="12501"/>
      <c r="J15" s="12502"/>
      <c r="K15" s="12503"/>
      <c r="L15" s="12504"/>
      <c r="M15" s="12505"/>
      <c r="N15" s="12506"/>
      <c r="O15" s="12507"/>
      <c r="P15" s="12508"/>
      <c r="Q15" s="12509"/>
      <c r="R15" s="12510"/>
      <c r="S15" s="12511"/>
      <c r="T15" s="12512"/>
    </row>
    <row r="16">
      <c r="A16" s="12513" t="s">
        <v>95</v>
      </c>
      <c r="B16" s="12514">
        <v>289</v>
      </c>
      <c r="C16" s="12515">
        <v>809</v>
      </c>
      <c r="D16" s="12516">
        <v>35.723114956736716</v>
      </c>
      <c r="E16" s="12517"/>
      <c r="F16" s="12518"/>
      <c r="G16" s="12519"/>
      <c r="H16" s="12520"/>
      <c r="I16" s="12521"/>
      <c r="J16" s="12522"/>
      <c r="K16" s="12523"/>
      <c r="L16" s="12524"/>
      <c r="M16" s="12525"/>
      <c r="N16" s="12526"/>
      <c r="O16" s="12527"/>
      <c r="P16" s="12528"/>
      <c r="Q16" s="12529"/>
      <c r="R16" s="12530"/>
      <c r="S16" s="12531"/>
      <c r="T16" s="12532"/>
    </row>
    <row r="17">
      <c r="A17" s="12533" t="s">
        <v>96</v>
      </c>
      <c r="B17" s="12534">
        <v>372</v>
      </c>
      <c r="C17" s="12535">
        <v>870</v>
      </c>
      <c r="D17" s="12536">
        <v>42.758620689655174</v>
      </c>
      <c r="E17" s="12537"/>
      <c r="F17" s="12538"/>
      <c r="G17" s="12539"/>
      <c r="H17" s="12540"/>
      <c r="I17" s="12541"/>
      <c r="J17" s="12542"/>
      <c r="K17" s="12543"/>
      <c r="L17" s="12544"/>
      <c r="M17" s="12545"/>
      <c r="N17" s="12546"/>
      <c r="O17" s="12547"/>
      <c r="P17" s="12548"/>
      <c r="Q17" s="12549"/>
      <c r="R17" s="12550"/>
      <c r="S17" s="12551"/>
      <c r="T17" s="12552"/>
    </row>
    <row r="18">
      <c r="A18" s="12553" t="s">
        <v>97</v>
      </c>
      <c r="B18" s="12554">
        <v>8247</v>
      </c>
      <c r="C18" s="12555">
        <v>10355</v>
      </c>
      <c r="D18" s="12556">
        <v>79.642684693384837</v>
      </c>
      <c r="E18" s="12557"/>
      <c r="F18" s="12558"/>
      <c r="G18" s="12559"/>
      <c r="H18" s="12560"/>
      <c r="I18" s="12561"/>
      <c r="J18" s="12562"/>
      <c r="K18" s="12563"/>
      <c r="L18" s="12564"/>
      <c r="M18" s="12565"/>
      <c r="N18" s="12566"/>
      <c r="O18" s="12567"/>
      <c r="P18" s="12568"/>
      <c r="Q18" s="12569"/>
      <c r="R18" s="12570"/>
      <c r="S18" s="12571"/>
      <c r="T18" s="12572"/>
    </row>
    <row r="19">
      <c r="A19" s="12573" t="s">
        <v>98</v>
      </c>
      <c r="B19" s="12574"/>
      <c r="C19" s="12575"/>
      <c r="D19" s="12576"/>
      <c r="E19" s="12577"/>
      <c r="F19" s="12578"/>
      <c r="G19" s="12579"/>
      <c r="H19" s="12580"/>
      <c r="I19" s="12581"/>
      <c r="J19" s="12582"/>
      <c r="K19" s="12583"/>
      <c r="L19" s="12584"/>
      <c r="M19" s="12585"/>
      <c r="N19" s="12586"/>
      <c r="O19" s="12587"/>
      <c r="P19" s="12588"/>
      <c r="Q19" s="12589"/>
      <c r="R19" s="12590"/>
      <c r="S19" s="12591"/>
      <c r="T19" s="12592"/>
    </row>
    <row r="20">
      <c r="A20" s="12593" t="s">
        <v>113</v>
      </c>
      <c r="B20" s="12594"/>
      <c r="C20" s="12595"/>
      <c r="D20" s="12596"/>
      <c r="E20" s="12597"/>
      <c r="F20" s="12598"/>
      <c r="G20" s="12599"/>
      <c r="H20" s="12600"/>
      <c r="I20" s="12601"/>
      <c r="J20" s="12602"/>
      <c r="K20" s="12603"/>
      <c r="L20" s="12604"/>
      <c r="M20" s="12605"/>
      <c r="N20" s="12606"/>
      <c r="O20" s="12607"/>
      <c r="P20" s="12608"/>
      <c r="Q20" s="12609"/>
      <c r="R20" s="12610"/>
      <c r="S20" s="12611"/>
      <c r="T20" s="12612"/>
    </row>
    <row r="21">
      <c r="A21" t="s">
        <v>116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1"/>
  <sheetViews>
    <sheetView workbookViewId="0"/>
  </sheetViews>
  <sheetFormatPr defaultRowHeight="15"/>
  <cols>
    <col min="1" max="6" width="15.453125" style="12613" customWidth="true"/>
  </cols>
  <sheetData>
    <row r="1">
      <c r="A1" s="12614" t="s">
        <v>117</v>
      </c>
      <c r="B1" s="12615"/>
      <c r="C1" s="12616"/>
      <c r="D1" s="12617"/>
      <c r="E1" s="12618"/>
      <c r="F1" s="12619"/>
      <c r="G1" s="12620"/>
      <c r="H1" s="12621"/>
      <c r="I1" s="12622"/>
      <c r="J1" s="12623"/>
      <c r="K1" s="12624"/>
      <c r="L1" s="12625"/>
      <c r="M1" s="12626"/>
      <c r="N1" s="12627"/>
      <c r="O1" s="12628"/>
      <c r="P1" s="12629"/>
      <c r="Q1" s="12630"/>
      <c r="R1" s="12631"/>
      <c r="S1" s="12632"/>
      <c r="T1" s="12633"/>
    </row>
    <row r="2">
      <c r="A2" s="12634"/>
      <c r="B2" s="12635" t="s">
        <v>79</v>
      </c>
      <c r="C2" s="12636" t="s">
        <v>80</v>
      </c>
      <c r="D2" s="12637" t="s">
        <v>81</v>
      </c>
      <c r="E2" s="12638"/>
      <c r="F2" s="12639"/>
      <c r="G2" s="12640"/>
      <c r="H2" s="12641"/>
      <c r="I2" s="12642"/>
      <c r="J2" s="12643"/>
      <c r="K2" s="12644"/>
      <c r="L2" s="12645"/>
      <c r="M2" s="12646"/>
      <c r="N2" s="12647"/>
      <c r="O2" s="12648"/>
      <c r="P2" s="12649"/>
      <c r="Q2" s="12650"/>
      <c r="R2" s="12651"/>
      <c r="S2" s="12652"/>
      <c r="T2" s="12653"/>
    </row>
    <row r="3">
      <c r="A3" s="12654" t="s">
        <v>82</v>
      </c>
      <c r="B3" s="12655"/>
      <c r="C3" s="12656"/>
      <c r="D3" s="12657"/>
      <c r="E3" s="12658"/>
      <c r="F3" s="12659"/>
      <c r="G3" s="12660"/>
      <c r="H3" s="12661"/>
      <c r="I3" s="12662"/>
      <c r="J3" s="12663"/>
      <c r="K3" s="12664"/>
      <c r="L3" s="12665"/>
      <c r="M3" s="12666"/>
      <c r="N3" s="12667"/>
      <c r="O3" s="12668"/>
      <c r="P3" s="12669"/>
      <c r="Q3" s="12670"/>
      <c r="R3" s="12671"/>
      <c r="S3" s="12672"/>
      <c r="T3" s="12673"/>
    </row>
    <row r="4">
      <c r="A4" s="12674" t="s">
        <v>83</v>
      </c>
      <c r="B4" s="12675">
        <v>555</v>
      </c>
      <c r="C4" s="12676">
        <v>555</v>
      </c>
      <c r="D4" s="12677">
        <v>100</v>
      </c>
      <c r="E4" s="12678"/>
      <c r="F4" s="12679"/>
      <c r="G4" s="12680"/>
      <c r="H4" s="12681"/>
      <c r="I4" s="12682"/>
      <c r="J4" s="12683"/>
      <c r="K4" s="12684"/>
      <c r="L4" s="12685"/>
      <c r="M4" s="12686"/>
      <c r="N4" s="12687"/>
      <c r="O4" s="12688"/>
      <c r="P4" s="12689"/>
      <c r="Q4" s="12690"/>
      <c r="R4" s="12691"/>
      <c r="S4" s="12692"/>
      <c r="T4" s="12693"/>
    </row>
    <row r="5">
      <c r="A5" s="12694" t="s">
        <v>84</v>
      </c>
      <c r="B5" s="12695">
        <v>504</v>
      </c>
      <c r="C5" s="12696">
        <v>504</v>
      </c>
      <c r="D5" s="12697">
        <v>100</v>
      </c>
      <c r="E5" s="12698"/>
      <c r="F5" s="12699"/>
      <c r="G5" s="12700"/>
      <c r="H5" s="12701"/>
      <c r="I5" s="12702"/>
      <c r="J5" s="12703"/>
      <c r="K5" s="12704"/>
      <c r="L5" s="12705"/>
      <c r="M5" s="12706"/>
      <c r="N5" s="12707"/>
      <c r="O5" s="12708"/>
      <c r="P5" s="12709"/>
      <c r="Q5" s="12710"/>
      <c r="R5" s="12711"/>
      <c r="S5" s="12712"/>
      <c r="T5" s="12713"/>
    </row>
    <row r="6">
      <c r="A6" s="12714" t="s">
        <v>85</v>
      </c>
      <c r="B6" s="12715">
        <v>584</v>
      </c>
      <c r="C6" s="12716">
        <v>584</v>
      </c>
      <c r="D6" s="12717">
        <v>100</v>
      </c>
      <c r="E6" s="12718"/>
      <c r="F6" s="12719"/>
      <c r="G6" s="12720"/>
      <c r="H6" s="12721"/>
      <c r="I6" s="12722"/>
      <c r="J6" s="12723"/>
      <c r="K6" s="12724"/>
      <c r="L6" s="12725"/>
      <c r="M6" s="12726"/>
      <c r="N6" s="12727"/>
      <c r="O6" s="12728"/>
      <c r="P6" s="12729"/>
      <c r="Q6" s="12730"/>
      <c r="R6" s="12731"/>
      <c r="S6" s="12732"/>
      <c r="T6" s="12733"/>
    </row>
    <row r="7">
      <c r="A7" s="12734" t="s">
        <v>86</v>
      </c>
      <c r="B7" s="12735">
        <v>697</v>
      </c>
      <c r="C7" s="12736">
        <v>697</v>
      </c>
      <c r="D7" s="12737">
        <v>100</v>
      </c>
      <c r="E7" s="12738"/>
      <c r="F7" s="12739"/>
      <c r="G7" s="12740"/>
      <c r="H7" s="12741"/>
      <c r="I7" s="12742"/>
      <c r="J7" s="12743"/>
      <c r="K7" s="12744"/>
      <c r="L7" s="12745"/>
      <c r="M7" s="12746"/>
      <c r="N7" s="12747"/>
      <c r="O7" s="12748"/>
      <c r="P7" s="12749"/>
      <c r="Q7" s="12750"/>
      <c r="R7" s="12751"/>
      <c r="S7" s="12752"/>
      <c r="T7" s="12753"/>
    </row>
    <row r="8">
      <c r="A8" s="12754" t="s">
        <v>87</v>
      </c>
      <c r="B8" s="12755">
        <v>590</v>
      </c>
      <c r="C8" s="12756">
        <v>715</v>
      </c>
      <c r="D8" s="12757">
        <v>82.51748251748252</v>
      </c>
      <c r="E8" s="12758"/>
      <c r="F8" s="12759"/>
      <c r="G8" s="12760"/>
      <c r="H8" s="12761"/>
      <c r="I8" s="12762"/>
      <c r="J8" s="12763"/>
      <c r="K8" s="12764"/>
      <c r="L8" s="12765"/>
      <c r="M8" s="12766"/>
      <c r="N8" s="12767"/>
      <c r="O8" s="12768"/>
      <c r="P8" s="12769"/>
      <c r="Q8" s="12770"/>
      <c r="R8" s="12771"/>
      <c r="S8" s="12772"/>
      <c r="T8" s="12773"/>
    </row>
    <row r="9">
      <c r="A9" s="12774" t="s">
        <v>88</v>
      </c>
      <c r="B9" s="12775">
        <v>484</v>
      </c>
      <c r="C9" s="12776">
        <v>695</v>
      </c>
      <c r="D9" s="12777">
        <v>69.640287769784166</v>
      </c>
      <c r="E9" s="12778"/>
      <c r="F9" s="12779"/>
      <c r="G9" s="12780"/>
      <c r="H9" s="12781"/>
      <c r="I9" s="12782"/>
      <c r="J9" s="12783"/>
      <c r="K9" s="12784"/>
      <c r="L9" s="12785"/>
      <c r="M9" s="12786"/>
      <c r="N9" s="12787"/>
      <c r="O9" s="12788"/>
      <c r="P9" s="12789"/>
      <c r="Q9" s="12790"/>
      <c r="R9" s="12791"/>
      <c r="S9" s="12792"/>
      <c r="T9" s="12793"/>
    </row>
    <row r="10">
      <c r="A10" s="12794" t="s">
        <v>89</v>
      </c>
      <c r="B10" s="12795">
        <v>595</v>
      </c>
      <c r="C10" s="12796">
        <v>780</v>
      </c>
      <c r="D10" s="12797">
        <v>76.28205128205127</v>
      </c>
      <c r="E10" s="12798"/>
      <c r="F10" s="12799"/>
      <c r="G10" s="12800"/>
      <c r="H10" s="12801"/>
      <c r="I10" s="12802"/>
      <c r="J10" s="12803"/>
      <c r="K10" s="12804"/>
      <c r="L10" s="12805"/>
      <c r="M10" s="12806"/>
      <c r="N10" s="12807"/>
      <c r="O10" s="12808"/>
      <c r="P10" s="12809"/>
      <c r="Q10" s="12810"/>
      <c r="R10" s="12811"/>
      <c r="S10" s="12812"/>
      <c r="T10" s="12813"/>
    </row>
    <row r="11">
      <c r="A11" s="12814" t="s">
        <v>90</v>
      </c>
      <c r="B11" s="12815">
        <v>550</v>
      </c>
      <c r="C11" s="12816">
        <v>822</v>
      </c>
      <c r="D11" s="12817">
        <v>66.909975669099751</v>
      </c>
      <c r="E11" s="12818"/>
      <c r="F11" s="12819"/>
      <c r="G11" s="12820"/>
      <c r="H11" s="12821"/>
      <c r="I11" s="12822"/>
      <c r="J11" s="12823"/>
      <c r="K11" s="12824"/>
      <c r="L11" s="12825"/>
      <c r="M11" s="12826"/>
      <c r="N11" s="12827"/>
      <c r="O11" s="12828"/>
      <c r="P11" s="12829"/>
      <c r="Q11" s="12830"/>
      <c r="R11" s="12831"/>
      <c r="S11" s="12832"/>
      <c r="T11" s="12833"/>
    </row>
    <row r="12">
      <c r="A12" s="12834" t="s">
        <v>91</v>
      </c>
      <c r="B12" s="12835">
        <v>551</v>
      </c>
      <c r="C12" s="12836">
        <v>807</v>
      </c>
      <c r="D12" s="12837">
        <v>68.277571251548949</v>
      </c>
      <c r="E12" s="12838"/>
      <c r="F12" s="12839"/>
      <c r="G12" s="12840"/>
      <c r="H12" s="12841"/>
      <c r="I12" s="12842"/>
      <c r="J12" s="12843"/>
      <c r="K12" s="12844"/>
      <c r="L12" s="12845"/>
      <c r="M12" s="12846"/>
      <c r="N12" s="12847"/>
      <c r="O12" s="12848"/>
      <c r="P12" s="12849"/>
      <c r="Q12" s="12850"/>
      <c r="R12" s="12851"/>
      <c r="S12" s="12852"/>
      <c r="T12" s="12853"/>
    </row>
    <row r="13">
      <c r="A13" s="12854" t="s">
        <v>92</v>
      </c>
      <c r="B13" s="12855">
        <v>633</v>
      </c>
      <c r="C13" s="12856">
        <v>933</v>
      </c>
      <c r="D13" s="12857">
        <v>67.845659163987136</v>
      </c>
      <c r="E13" s="12858"/>
      <c r="F13" s="12859"/>
      <c r="G13" s="12860"/>
      <c r="H13" s="12861"/>
      <c r="I13" s="12862"/>
      <c r="J13" s="12863"/>
      <c r="K13" s="12864"/>
      <c r="L13" s="12865"/>
      <c r="M13" s="12866"/>
      <c r="N13" s="12867"/>
      <c r="O13" s="12868"/>
      <c r="P13" s="12869"/>
      <c r="Q13" s="12870"/>
      <c r="R13" s="12871"/>
      <c r="S13" s="12872"/>
      <c r="T13" s="12873"/>
    </row>
    <row r="14">
      <c r="A14" s="12874" t="s">
        <v>93</v>
      </c>
      <c r="B14" s="12875">
        <v>565</v>
      </c>
      <c r="C14" s="12876">
        <v>854</v>
      </c>
      <c r="D14" s="12877">
        <v>66.159250585480095</v>
      </c>
      <c r="E14" s="12878"/>
      <c r="F14" s="12879"/>
      <c r="G14" s="12880"/>
      <c r="H14" s="12881"/>
      <c r="I14" s="12882"/>
      <c r="J14" s="12883"/>
      <c r="K14" s="12884"/>
      <c r="L14" s="12885"/>
      <c r="M14" s="12886"/>
      <c r="N14" s="12887"/>
      <c r="O14" s="12888"/>
      <c r="P14" s="12889"/>
      <c r="Q14" s="12890"/>
      <c r="R14" s="12891"/>
      <c r="S14" s="12892"/>
      <c r="T14" s="12893"/>
    </row>
    <row r="15">
      <c r="A15" s="12894" t="s">
        <v>94</v>
      </c>
      <c r="B15" s="12895">
        <v>545</v>
      </c>
      <c r="C15" s="12896">
        <v>730</v>
      </c>
      <c r="D15" s="12897">
        <v>74.657534246575338</v>
      </c>
      <c r="E15" s="12898"/>
      <c r="F15" s="12899"/>
      <c r="G15" s="12900"/>
      <c r="H15" s="12901"/>
      <c r="I15" s="12902"/>
      <c r="J15" s="12903"/>
      <c r="K15" s="12904"/>
      <c r="L15" s="12905"/>
      <c r="M15" s="12906"/>
      <c r="N15" s="12907"/>
      <c r="O15" s="12908"/>
      <c r="P15" s="12909"/>
      <c r="Q15" s="12910"/>
      <c r="R15" s="12911"/>
      <c r="S15" s="12912"/>
      <c r="T15" s="12913"/>
    </row>
    <row r="16">
      <c r="A16" s="12914" t="s">
        <v>95</v>
      </c>
      <c r="B16" s="12915">
        <v>603</v>
      </c>
      <c r="C16" s="12916">
        <v>809</v>
      </c>
      <c r="D16" s="12917">
        <v>74.536464771322613</v>
      </c>
      <c r="E16" s="12918"/>
      <c r="F16" s="12919"/>
      <c r="G16" s="12920"/>
      <c r="H16" s="12921"/>
      <c r="I16" s="12922"/>
      <c r="J16" s="12923"/>
      <c r="K16" s="12924"/>
      <c r="L16" s="12925"/>
      <c r="M16" s="12926"/>
      <c r="N16" s="12927"/>
      <c r="O16" s="12928"/>
      <c r="P16" s="12929"/>
      <c r="Q16" s="12930"/>
      <c r="R16" s="12931"/>
      <c r="S16" s="12932"/>
      <c r="T16" s="12933"/>
    </row>
    <row r="17">
      <c r="A17" s="12934" t="s">
        <v>96</v>
      </c>
      <c r="B17" s="12935">
        <v>686</v>
      </c>
      <c r="C17" s="12936">
        <v>870</v>
      </c>
      <c r="D17" s="12937">
        <v>78.850574712643677</v>
      </c>
      <c r="E17" s="12938"/>
      <c r="F17" s="12939"/>
      <c r="G17" s="12940"/>
      <c r="H17" s="12941"/>
      <c r="I17" s="12942"/>
      <c r="J17" s="12943"/>
      <c r="K17" s="12944"/>
      <c r="L17" s="12945"/>
      <c r="M17" s="12946"/>
      <c r="N17" s="12947"/>
      <c r="O17" s="12948"/>
      <c r="P17" s="12949"/>
      <c r="Q17" s="12950"/>
      <c r="R17" s="12951"/>
      <c r="S17" s="12952"/>
      <c r="T17" s="12953"/>
    </row>
    <row r="18">
      <c r="A18" s="12954" t="s">
        <v>97</v>
      </c>
      <c r="B18" s="12955">
        <v>8142</v>
      </c>
      <c r="C18" s="12956">
        <v>10355</v>
      </c>
      <c r="D18" s="12957">
        <v>78.628681796233707</v>
      </c>
      <c r="E18" s="12958"/>
      <c r="F18" s="12959"/>
      <c r="G18" s="12960"/>
      <c r="H18" s="12961"/>
      <c r="I18" s="12962"/>
      <c r="J18" s="12963"/>
      <c r="K18" s="12964"/>
      <c r="L18" s="12965"/>
      <c r="M18" s="12966"/>
      <c r="N18" s="12967"/>
      <c r="O18" s="12968"/>
      <c r="P18" s="12969"/>
      <c r="Q18" s="12970"/>
      <c r="R18" s="12971"/>
      <c r="S18" s="12972"/>
      <c r="T18" s="12973"/>
    </row>
    <row r="19">
      <c r="A19" s="12974" t="s">
        <v>98</v>
      </c>
      <c r="B19" s="12975"/>
      <c r="C19" s="12976"/>
      <c r="D19" s="12977"/>
      <c r="E19" s="12978"/>
      <c r="F19" s="12979"/>
      <c r="G19" s="12980"/>
      <c r="H19" s="12981"/>
      <c r="I19" s="12982"/>
      <c r="J19" s="12983"/>
      <c r="K19" s="12984"/>
      <c r="L19" s="12985"/>
      <c r="M19" s="12986"/>
      <c r="N19" s="12987"/>
      <c r="O19" s="12988"/>
      <c r="P19" s="12989"/>
      <c r="Q19" s="12990"/>
      <c r="R19" s="12991"/>
      <c r="S19" s="12992"/>
      <c r="T19" s="12993"/>
    </row>
    <row r="20">
      <c r="A20" s="12994" t="s">
        <v>118</v>
      </c>
      <c r="B20" s="12995"/>
      <c r="C20" s="12996"/>
      <c r="D20" s="12997"/>
      <c r="E20" s="12998"/>
      <c r="F20" s="12999"/>
      <c r="G20" s="13000"/>
      <c r="H20" s="13001"/>
      <c r="I20" s="13002"/>
      <c r="J20" s="13003"/>
      <c r="K20" s="13004"/>
      <c r="L20" s="13005"/>
      <c r="M20" s="13006"/>
      <c r="N20" s="13007"/>
      <c r="O20" s="13008"/>
      <c r="P20" s="13009"/>
      <c r="Q20" s="13010"/>
      <c r="R20" s="13011"/>
      <c r="S20" s="13012"/>
      <c r="T20" s="13013"/>
    </row>
    <row r="21">
      <c r="A21" t="s">
        <v>119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1"/>
  <sheetViews>
    <sheetView workbookViewId="0"/>
  </sheetViews>
  <sheetFormatPr defaultRowHeight="15"/>
  <cols>
    <col min="1" max="6" width="15.453125" style="13014" customWidth="true"/>
  </cols>
  <sheetData>
    <row r="1">
      <c r="A1" s="13015" t="s">
        <v>120</v>
      </c>
      <c r="B1" s="13016"/>
      <c r="C1" s="13017"/>
      <c r="D1" s="13018"/>
      <c r="E1" s="13019"/>
      <c r="F1" s="13020"/>
      <c r="G1" s="13021"/>
      <c r="H1" s="13022"/>
      <c r="I1" s="13023"/>
      <c r="J1" s="13024"/>
      <c r="K1" s="13025"/>
      <c r="L1" s="13026"/>
      <c r="M1" s="13027"/>
      <c r="N1" s="13028"/>
      <c r="O1" s="13029"/>
      <c r="P1" s="13030"/>
      <c r="Q1" s="13031"/>
      <c r="R1" s="13032"/>
      <c r="S1" s="13033"/>
      <c r="T1" s="13034"/>
    </row>
    <row r="2">
      <c r="A2" s="13035"/>
      <c r="B2" s="13036" t="s">
        <v>79</v>
      </c>
      <c r="C2" s="13037" t="s">
        <v>80</v>
      </c>
      <c r="D2" s="13038" t="s">
        <v>81</v>
      </c>
      <c r="E2" s="13039"/>
      <c r="F2" s="13040"/>
      <c r="G2" s="13041"/>
      <c r="H2" s="13042"/>
      <c r="I2" s="13043"/>
      <c r="J2" s="13044"/>
      <c r="K2" s="13045"/>
      <c r="L2" s="13046"/>
      <c r="M2" s="13047"/>
      <c r="N2" s="13048"/>
      <c r="O2" s="13049"/>
      <c r="P2" s="13050"/>
      <c r="Q2" s="13051"/>
      <c r="R2" s="13052"/>
      <c r="S2" s="13053"/>
      <c r="T2" s="13054"/>
    </row>
    <row r="3">
      <c r="A3" s="13055" t="s">
        <v>82</v>
      </c>
      <c r="B3" s="13056"/>
      <c r="C3" s="13057"/>
      <c r="D3" s="13058"/>
      <c r="E3" s="13059"/>
      <c r="F3" s="13060"/>
      <c r="G3" s="13061"/>
      <c r="H3" s="13062"/>
      <c r="I3" s="13063"/>
      <c r="J3" s="13064"/>
      <c r="K3" s="13065"/>
      <c r="L3" s="13066"/>
      <c r="M3" s="13067"/>
      <c r="N3" s="13068"/>
      <c r="O3" s="13069"/>
      <c r="P3" s="13070"/>
      <c r="Q3" s="13071"/>
      <c r="R3" s="13072"/>
      <c r="S3" s="13073"/>
      <c r="T3" s="13074"/>
    </row>
    <row r="4">
      <c r="A4" s="13075" t="s">
        <v>83</v>
      </c>
      <c r="B4" s="13076">
        <v>22</v>
      </c>
      <c r="C4" s="13077">
        <v>126</v>
      </c>
      <c r="D4" s="13078">
        <v>17.460317460317459</v>
      </c>
      <c r="E4" s="13079"/>
      <c r="F4" s="13080"/>
      <c r="G4" s="13081"/>
      <c r="H4" s="13082"/>
      <c r="I4" s="13083"/>
      <c r="J4" s="13084"/>
      <c r="K4" s="13085"/>
      <c r="L4" s="13086"/>
      <c r="M4" s="13087"/>
      <c r="N4" s="13088"/>
      <c r="O4" s="13089"/>
      <c r="P4" s="13090"/>
      <c r="Q4" s="13091"/>
      <c r="R4" s="13092"/>
      <c r="S4" s="13093"/>
      <c r="T4" s="13094"/>
    </row>
    <row r="5">
      <c r="A5" s="13095" t="s">
        <v>84</v>
      </c>
      <c r="B5" s="13096">
        <v>26</v>
      </c>
      <c r="C5" s="13097">
        <v>119</v>
      </c>
      <c r="D5" s="13098">
        <v>21.84873949579832</v>
      </c>
      <c r="E5" s="13099"/>
      <c r="F5" s="13100"/>
      <c r="G5" s="13101"/>
      <c r="H5" s="13102"/>
      <c r="I5" s="13103"/>
      <c r="J5" s="13104"/>
      <c r="K5" s="13105"/>
      <c r="L5" s="13106"/>
      <c r="M5" s="13107"/>
      <c r="N5" s="13108"/>
      <c r="O5" s="13109"/>
      <c r="P5" s="13110"/>
      <c r="Q5" s="13111"/>
      <c r="R5" s="13112"/>
      <c r="S5" s="13113"/>
      <c r="T5" s="13114"/>
    </row>
    <row r="6">
      <c r="A6" s="13115" t="s">
        <v>85</v>
      </c>
      <c r="B6" s="13116">
        <v>20</v>
      </c>
      <c r="C6" s="13117">
        <v>187</v>
      </c>
      <c r="D6" s="13118">
        <v>10.695187165775401</v>
      </c>
      <c r="E6" s="13119"/>
      <c r="F6" s="13120"/>
      <c r="G6" s="13121"/>
      <c r="H6" s="13122"/>
      <c r="I6" s="13123"/>
      <c r="J6" s="13124"/>
      <c r="K6" s="13125"/>
      <c r="L6" s="13126"/>
      <c r="M6" s="13127"/>
      <c r="N6" s="13128"/>
      <c r="O6" s="13129"/>
      <c r="P6" s="13130"/>
      <c r="Q6" s="13131"/>
      <c r="R6" s="13132"/>
      <c r="S6" s="13133"/>
      <c r="T6" s="13134"/>
    </row>
    <row r="7">
      <c r="A7" s="13135" t="s">
        <v>86</v>
      </c>
      <c r="B7" s="13136">
        <v>35</v>
      </c>
      <c r="C7" s="13137">
        <v>153</v>
      </c>
      <c r="D7" s="13138">
        <v>22.875816993464053</v>
      </c>
      <c r="E7" s="13139"/>
      <c r="F7" s="13140"/>
      <c r="G7" s="13141"/>
      <c r="H7" s="13142"/>
      <c r="I7" s="13143"/>
      <c r="J7" s="13144"/>
      <c r="K7" s="13145"/>
      <c r="L7" s="13146"/>
      <c r="M7" s="13147"/>
      <c r="N7" s="13148"/>
      <c r="O7" s="13149"/>
      <c r="P7" s="13150"/>
      <c r="Q7" s="13151"/>
      <c r="R7" s="13152"/>
      <c r="S7" s="13153"/>
      <c r="T7" s="13154"/>
    </row>
    <row r="8">
      <c r="A8" s="13155" t="s">
        <v>87</v>
      </c>
      <c r="B8" s="13156">
        <v>38</v>
      </c>
      <c r="C8" s="13157">
        <v>234</v>
      </c>
      <c r="D8" s="13158">
        <v>16.239316239316239</v>
      </c>
      <c r="E8" s="13159"/>
      <c r="F8" s="13160"/>
      <c r="G8" s="13161"/>
      <c r="H8" s="13162"/>
      <c r="I8" s="13163"/>
      <c r="J8" s="13164"/>
      <c r="K8" s="13165"/>
      <c r="L8" s="13166"/>
      <c r="M8" s="13167"/>
      <c r="N8" s="13168"/>
      <c r="O8" s="13169"/>
      <c r="P8" s="13170"/>
      <c r="Q8" s="13171"/>
      <c r="R8" s="13172"/>
      <c r="S8" s="13173"/>
      <c r="T8" s="13174"/>
    </row>
    <row r="9">
      <c r="A9" s="13175" t="s">
        <v>88</v>
      </c>
      <c r="B9" s="13176">
        <v>22</v>
      </c>
      <c r="C9" s="13177">
        <v>211</v>
      </c>
      <c r="D9" s="13178">
        <v>10.42654028436019</v>
      </c>
      <c r="E9" s="13179"/>
      <c r="F9" s="13180"/>
      <c r="G9" s="13181"/>
      <c r="H9" s="13182"/>
      <c r="I9" s="13183"/>
      <c r="J9" s="13184"/>
      <c r="K9" s="13185"/>
      <c r="L9" s="13186"/>
      <c r="M9" s="13187"/>
      <c r="N9" s="13188"/>
      <c r="O9" s="13189"/>
      <c r="P9" s="13190"/>
      <c r="Q9" s="13191"/>
      <c r="R9" s="13192"/>
      <c r="S9" s="13193"/>
      <c r="T9" s="13194"/>
    </row>
    <row r="10">
      <c r="A10" s="13195" t="s">
        <v>89</v>
      </c>
      <c r="B10" s="13196">
        <v>58</v>
      </c>
      <c r="C10" s="13197">
        <v>217</v>
      </c>
      <c r="D10" s="13198">
        <v>26.728110599078342</v>
      </c>
      <c r="E10" s="13199"/>
      <c r="F10" s="13200"/>
      <c r="G10" s="13201"/>
      <c r="H10" s="13202"/>
      <c r="I10" s="13203"/>
      <c r="J10" s="13204"/>
      <c r="K10" s="13205"/>
      <c r="L10" s="13206"/>
      <c r="M10" s="13207"/>
      <c r="N10" s="13208"/>
      <c r="O10" s="13209"/>
      <c r="P10" s="13210"/>
      <c r="Q10" s="13211"/>
      <c r="R10" s="13212"/>
      <c r="S10" s="13213"/>
      <c r="T10" s="13214"/>
    </row>
    <row r="11">
      <c r="A11" s="13215" t="s">
        <v>90</v>
      </c>
      <c r="B11" s="13216">
        <v>51</v>
      </c>
      <c r="C11" s="13217">
        <v>278</v>
      </c>
      <c r="D11" s="13218">
        <v>18.345323741007196</v>
      </c>
      <c r="E11" s="13219"/>
      <c r="F11" s="13220"/>
      <c r="G11" s="13221"/>
      <c r="H11" s="13222"/>
      <c r="I11" s="13223"/>
      <c r="J11" s="13224"/>
      <c r="K11" s="13225"/>
      <c r="L11" s="13226"/>
      <c r="M11" s="13227"/>
      <c r="N11" s="13228"/>
      <c r="O11" s="13229"/>
      <c r="P11" s="13230"/>
      <c r="Q11" s="13231"/>
      <c r="R11" s="13232"/>
      <c r="S11" s="13233"/>
      <c r="T11" s="13234"/>
    </row>
    <row r="12">
      <c r="A12" s="13235" t="s">
        <v>91</v>
      </c>
      <c r="B12" s="13236">
        <v>56</v>
      </c>
      <c r="C12" s="13237">
        <v>257</v>
      </c>
      <c r="D12" s="13238">
        <v>21.789883268482491</v>
      </c>
      <c r="E12" s="13239"/>
      <c r="F12" s="13240"/>
      <c r="G12" s="13241"/>
      <c r="H12" s="13242"/>
      <c r="I12" s="13243"/>
      <c r="J12" s="13244"/>
      <c r="K12" s="13245"/>
      <c r="L12" s="13246"/>
      <c r="M12" s="13247"/>
      <c r="N12" s="13248"/>
      <c r="O12" s="13249"/>
      <c r="P12" s="13250"/>
      <c r="Q12" s="13251"/>
      <c r="R12" s="13252"/>
      <c r="S12" s="13253"/>
      <c r="T12" s="13254"/>
    </row>
    <row r="13">
      <c r="A13" s="13255" t="s">
        <v>92</v>
      </c>
      <c r="B13" s="13256">
        <v>97</v>
      </c>
      <c r="C13" s="13257">
        <v>311</v>
      </c>
      <c r="D13" s="13258">
        <v>31.189710610932476</v>
      </c>
      <c r="E13" s="13259"/>
      <c r="F13" s="13260"/>
      <c r="G13" s="13261"/>
      <c r="H13" s="13262"/>
      <c r="I13" s="13263"/>
      <c r="J13" s="13264"/>
      <c r="K13" s="13265"/>
      <c r="L13" s="13266"/>
      <c r="M13" s="13267"/>
      <c r="N13" s="13268"/>
      <c r="O13" s="13269"/>
      <c r="P13" s="13270"/>
      <c r="Q13" s="13271"/>
      <c r="R13" s="13272"/>
      <c r="S13" s="13273"/>
      <c r="T13" s="13274"/>
    </row>
    <row r="14">
      <c r="A14" s="13275" t="s">
        <v>93</v>
      </c>
      <c r="B14" s="13276">
        <v>40</v>
      </c>
      <c r="C14" s="13277">
        <v>291</v>
      </c>
      <c r="D14" s="13278">
        <v>13.745704467353953</v>
      </c>
      <c r="E14" s="13279"/>
      <c r="F14" s="13280"/>
      <c r="G14" s="13281"/>
      <c r="H14" s="13282"/>
      <c r="I14" s="13283"/>
      <c r="J14" s="13284"/>
      <c r="K14" s="13285"/>
      <c r="L14" s="13286"/>
      <c r="M14" s="13287"/>
      <c r="N14" s="13288"/>
      <c r="O14" s="13289"/>
      <c r="P14" s="13290"/>
      <c r="Q14" s="13291"/>
      <c r="R14" s="13292"/>
      <c r="S14" s="13293"/>
      <c r="T14" s="13294"/>
    </row>
    <row r="15">
      <c r="A15" s="13295" t="s">
        <v>94</v>
      </c>
      <c r="B15" s="13296">
        <v>82</v>
      </c>
      <c r="C15" s="13297">
        <v>201</v>
      </c>
      <c r="D15" s="13298">
        <v>40.796019900497512</v>
      </c>
      <c r="E15" s="13299"/>
      <c r="F15" s="13300"/>
      <c r="G15" s="13301"/>
      <c r="H15" s="13302"/>
      <c r="I15" s="13303"/>
      <c r="J15" s="13304"/>
      <c r="K15" s="13305"/>
      <c r="L15" s="13306"/>
      <c r="M15" s="13307"/>
      <c r="N15" s="13308"/>
      <c r="O15" s="13309"/>
      <c r="P15" s="13310"/>
      <c r="Q15" s="13311"/>
      <c r="R15" s="13312"/>
      <c r="S15" s="13313"/>
      <c r="T15" s="13314"/>
    </row>
    <row r="16">
      <c r="A16" s="13315" t="s">
        <v>95</v>
      </c>
      <c r="B16" s="13316">
        <v>97</v>
      </c>
      <c r="C16" s="13317">
        <v>240</v>
      </c>
      <c r="D16" s="13318">
        <v>40.416666666666664</v>
      </c>
      <c r="E16" s="13319"/>
      <c r="F16" s="13320"/>
      <c r="G16" s="13321"/>
      <c r="H16" s="13322"/>
      <c r="I16" s="13323"/>
      <c r="J16" s="13324"/>
      <c r="K16" s="13325"/>
      <c r="L16" s="13326"/>
      <c r="M16" s="13327"/>
      <c r="N16" s="13328"/>
      <c r="O16" s="13329"/>
      <c r="P16" s="13330"/>
      <c r="Q16" s="13331"/>
      <c r="R16" s="13332"/>
      <c r="S16" s="13333"/>
      <c r="T16" s="13334"/>
    </row>
    <row r="17">
      <c r="A17" s="13335" t="s">
        <v>96</v>
      </c>
      <c r="B17" s="13336">
        <v>81</v>
      </c>
      <c r="C17" s="13337">
        <v>246</v>
      </c>
      <c r="D17" s="13338">
        <v>32.926829268292686</v>
      </c>
      <c r="E17" s="13339"/>
      <c r="F17" s="13340"/>
      <c r="G17" s="13341"/>
      <c r="H17" s="13342"/>
      <c r="I17" s="13343"/>
      <c r="J17" s="13344"/>
      <c r="K17" s="13345"/>
      <c r="L17" s="13346"/>
      <c r="M17" s="13347"/>
      <c r="N17" s="13348"/>
      <c r="O17" s="13349"/>
      <c r="P17" s="13350"/>
      <c r="Q17" s="13351"/>
      <c r="R17" s="13352"/>
      <c r="S17" s="13353"/>
      <c r="T17" s="13354"/>
    </row>
    <row r="18">
      <c r="A18" s="13355" t="s">
        <v>97</v>
      </c>
      <c r="B18" s="13356">
        <v>725</v>
      </c>
      <c r="C18" s="13357">
        <v>3071</v>
      </c>
      <c r="D18" s="13358">
        <v>23.607945294692282</v>
      </c>
      <c r="E18" s="13359"/>
      <c r="F18" s="13360"/>
      <c r="G18" s="13361"/>
      <c r="H18" s="13362"/>
      <c r="I18" s="13363"/>
      <c r="J18" s="13364"/>
      <c r="K18" s="13365"/>
      <c r="L18" s="13366"/>
      <c r="M18" s="13367"/>
      <c r="N18" s="13368"/>
      <c r="O18" s="13369"/>
      <c r="P18" s="13370"/>
      <c r="Q18" s="13371"/>
      <c r="R18" s="13372"/>
      <c r="S18" s="13373"/>
      <c r="T18" s="13374"/>
    </row>
    <row r="19">
      <c r="A19" s="13375" t="s">
        <v>98</v>
      </c>
      <c r="B19" s="13376"/>
      <c r="C19" s="13377"/>
      <c r="D19" s="13378"/>
      <c r="E19" s="13379"/>
      <c r="F19" s="13380"/>
      <c r="G19" s="13381"/>
      <c r="H19" s="13382"/>
      <c r="I19" s="13383"/>
      <c r="J19" s="13384"/>
      <c r="K19" s="13385"/>
      <c r="L19" s="13386"/>
      <c r="M19" s="13387"/>
      <c r="N19" s="13388"/>
      <c r="O19" s="13389"/>
      <c r="P19" s="13390"/>
      <c r="Q19" s="13391"/>
      <c r="R19" s="13392"/>
      <c r="S19" s="13393"/>
      <c r="T19" s="13394"/>
    </row>
    <row r="20">
      <c r="A20" s="13395" t="s">
        <v>121</v>
      </c>
      <c r="B20" s="13396"/>
      <c r="C20" s="13397"/>
      <c r="D20" s="13398"/>
      <c r="E20" s="13399"/>
      <c r="F20" s="13400"/>
      <c r="G20" s="13401"/>
      <c r="H20" s="13402"/>
      <c r="I20" s="13403"/>
      <c r="J20" s="13404"/>
      <c r="K20" s="13405"/>
      <c r="L20" s="13406"/>
      <c r="M20" s="13407"/>
      <c r="N20" s="13408"/>
      <c r="O20" s="13409"/>
      <c r="P20" s="13410"/>
      <c r="Q20" s="13411"/>
      <c r="R20" s="13412"/>
      <c r="S20" s="13413"/>
      <c r="T20" s="13414"/>
    </row>
    <row r="21">
      <c r="A21" t="s">
        <v>122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1"/>
  <sheetViews>
    <sheetView workbookViewId="0"/>
  </sheetViews>
  <sheetFormatPr defaultRowHeight="15"/>
  <cols>
    <col min="1" max="6" width="15.453125" style="13415" customWidth="true"/>
  </cols>
  <sheetData>
    <row r="1">
      <c r="A1" s="13416" t="s">
        <v>123</v>
      </c>
      <c r="B1" s="13417"/>
      <c r="C1" s="13418"/>
      <c r="D1" s="13419"/>
      <c r="E1" s="13420"/>
      <c r="F1" s="13421"/>
      <c r="G1" s="13422"/>
      <c r="H1" s="13423"/>
      <c r="I1" s="13424"/>
      <c r="J1" s="13425"/>
      <c r="K1" s="13426"/>
      <c r="L1" s="13427"/>
      <c r="M1" s="13428"/>
      <c r="N1" s="13429"/>
      <c r="O1" s="13430"/>
      <c r="P1" s="13431"/>
      <c r="Q1" s="13432"/>
      <c r="R1" s="13433"/>
      <c r="S1" s="13434"/>
      <c r="T1" s="13435"/>
    </row>
    <row r="2">
      <c r="A2" s="13436"/>
      <c r="B2" s="13437" t="s">
        <v>79</v>
      </c>
      <c r="C2" s="13438" t="s">
        <v>80</v>
      </c>
      <c r="D2" s="13439" t="s">
        <v>81</v>
      </c>
      <c r="E2" s="13440"/>
      <c r="F2" s="13441"/>
      <c r="G2" s="13442"/>
      <c r="H2" s="13443"/>
      <c r="I2" s="13444"/>
      <c r="J2" s="13445"/>
      <c r="K2" s="13446"/>
      <c r="L2" s="13447"/>
      <c r="M2" s="13448"/>
      <c r="N2" s="13449"/>
      <c r="O2" s="13450"/>
      <c r="P2" s="13451"/>
      <c r="Q2" s="13452"/>
      <c r="R2" s="13453"/>
      <c r="S2" s="13454"/>
      <c r="T2" s="13455"/>
    </row>
    <row r="3">
      <c r="A3" s="13456" t="s">
        <v>82</v>
      </c>
      <c r="B3" s="13457"/>
      <c r="C3" s="13458"/>
      <c r="D3" s="13459"/>
      <c r="E3" s="13460"/>
      <c r="F3" s="13461"/>
      <c r="G3" s="13462"/>
      <c r="H3" s="13463"/>
      <c r="I3" s="13464"/>
      <c r="J3" s="13465"/>
      <c r="K3" s="13466"/>
      <c r="L3" s="13467"/>
      <c r="M3" s="13468"/>
      <c r="N3" s="13469"/>
      <c r="O3" s="13470"/>
      <c r="P3" s="13471"/>
      <c r="Q3" s="13472"/>
      <c r="R3" s="13473"/>
      <c r="S3" s="13474"/>
      <c r="T3" s="13475"/>
    </row>
    <row r="4">
      <c r="A4" s="13476" t="s">
        <v>83</v>
      </c>
      <c r="B4" s="13477">
        <v>13</v>
      </c>
      <c r="C4" s="13478">
        <v>429</v>
      </c>
      <c r="D4" s="13479">
        <v>3.0303030303030303</v>
      </c>
      <c r="E4" s="13480"/>
      <c r="F4" s="13481"/>
      <c r="G4" s="13482"/>
      <c r="H4" s="13483"/>
      <c r="I4" s="13484"/>
      <c r="J4" s="13485"/>
      <c r="K4" s="13486"/>
      <c r="L4" s="13487"/>
      <c r="M4" s="13488"/>
      <c r="N4" s="13489"/>
      <c r="O4" s="13490"/>
      <c r="P4" s="13491"/>
      <c r="Q4" s="13492"/>
      <c r="R4" s="13493"/>
      <c r="S4" s="13494"/>
      <c r="T4" s="13495"/>
    </row>
    <row r="5">
      <c r="A5" s="13496" t="s">
        <v>84</v>
      </c>
      <c r="B5" s="13497">
        <v>10</v>
      </c>
      <c r="C5" s="13498">
        <v>385</v>
      </c>
      <c r="D5" s="13499">
        <v>2.5974025974025974</v>
      </c>
      <c r="E5" s="13500"/>
      <c r="F5" s="13501"/>
      <c r="G5" s="13502"/>
      <c r="H5" s="13503"/>
      <c r="I5" s="13504"/>
      <c r="J5" s="13505"/>
      <c r="K5" s="13506"/>
      <c r="L5" s="13507"/>
      <c r="M5" s="13508"/>
      <c r="N5" s="13509"/>
      <c r="O5" s="13510"/>
      <c r="P5" s="13511"/>
      <c r="Q5" s="13512"/>
      <c r="R5" s="13513"/>
      <c r="S5" s="13514"/>
      <c r="T5" s="13515"/>
    </row>
    <row r="6">
      <c r="A6" s="13516" t="s">
        <v>85</v>
      </c>
      <c r="B6" s="13517">
        <v>2</v>
      </c>
      <c r="C6" s="13518">
        <v>397</v>
      </c>
      <c r="D6" s="13519">
        <v>0.50377833753148615</v>
      </c>
      <c r="E6" s="13520"/>
      <c r="F6" s="13521"/>
      <c r="G6" s="13522"/>
      <c r="H6" s="13523"/>
      <c r="I6" s="13524"/>
      <c r="J6" s="13525"/>
      <c r="K6" s="13526"/>
      <c r="L6" s="13527"/>
      <c r="M6" s="13528"/>
      <c r="N6" s="13529"/>
      <c r="O6" s="13530"/>
      <c r="P6" s="13531"/>
      <c r="Q6" s="13532"/>
      <c r="R6" s="13533"/>
      <c r="S6" s="13534"/>
      <c r="T6" s="13535"/>
    </row>
    <row r="7">
      <c r="A7" s="13536" t="s">
        <v>86</v>
      </c>
      <c r="B7" s="13537">
        <v>1</v>
      </c>
      <c r="C7" s="13538">
        <v>544</v>
      </c>
      <c r="D7" s="13539">
        <v>0.18382352941176469</v>
      </c>
      <c r="E7" s="13540"/>
      <c r="F7" s="13541"/>
      <c r="G7" s="13542"/>
      <c r="H7" s="13543"/>
      <c r="I7" s="13544"/>
      <c r="J7" s="13545"/>
      <c r="K7" s="13546"/>
      <c r="L7" s="13547"/>
      <c r="M7" s="13548"/>
      <c r="N7" s="13549"/>
      <c r="O7" s="13550"/>
      <c r="P7" s="13551"/>
      <c r="Q7" s="13552"/>
      <c r="R7" s="13553"/>
      <c r="S7" s="13554"/>
      <c r="T7" s="13555"/>
    </row>
    <row r="8">
      <c r="A8" s="13556" t="s">
        <v>87</v>
      </c>
      <c r="B8" s="13557">
        <v>0</v>
      </c>
      <c r="C8" s="13558">
        <v>481</v>
      </c>
      <c r="D8" s="13559">
        <v>0</v>
      </c>
      <c r="E8" s="13560"/>
      <c r="F8" s="13561"/>
      <c r="G8" s="13562"/>
      <c r="H8" s="13563"/>
      <c r="I8" s="13564"/>
      <c r="J8" s="13565"/>
      <c r="K8" s="13566"/>
      <c r="L8" s="13567"/>
      <c r="M8" s="13568"/>
      <c r="N8" s="13569"/>
      <c r="O8" s="13570"/>
      <c r="P8" s="13571"/>
      <c r="Q8" s="13572"/>
      <c r="R8" s="13573"/>
      <c r="S8" s="13574"/>
      <c r="T8" s="13575"/>
    </row>
    <row r="9">
      <c r="A9" s="13576" t="s">
        <v>88</v>
      </c>
      <c r="B9" s="13577">
        <v>1</v>
      </c>
      <c r="C9" s="13578">
        <v>484</v>
      </c>
      <c r="D9" s="13579">
        <v>0.20661157024793389</v>
      </c>
      <c r="E9" s="13580"/>
      <c r="F9" s="13581"/>
      <c r="G9" s="13582"/>
      <c r="H9" s="13583"/>
      <c r="I9" s="13584"/>
      <c r="J9" s="13585"/>
      <c r="K9" s="13586"/>
      <c r="L9" s="13587"/>
      <c r="M9" s="13588"/>
      <c r="N9" s="13589"/>
      <c r="O9" s="13590"/>
      <c r="P9" s="13591"/>
      <c r="Q9" s="13592"/>
      <c r="R9" s="13593"/>
      <c r="S9" s="13594"/>
      <c r="T9" s="13595"/>
    </row>
    <row r="10">
      <c r="A10" s="13596" t="s">
        <v>89</v>
      </c>
      <c r="B10" s="13597">
        <v>87</v>
      </c>
      <c r="C10" s="13598">
        <v>563</v>
      </c>
      <c r="D10" s="13599">
        <v>15.452930728241562</v>
      </c>
      <c r="E10" s="13600"/>
      <c r="F10" s="13601"/>
      <c r="G10" s="13602"/>
      <c r="H10" s="13603"/>
      <c r="I10" s="13604"/>
      <c r="J10" s="13605"/>
      <c r="K10" s="13606"/>
      <c r="L10" s="13607"/>
      <c r="M10" s="13608"/>
      <c r="N10" s="13609"/>
      <c r="O10" s="13610"/>
      <c r="P10" s="13611"/>
      <c r="Q10" s="13612"/>
      <c r="R10" s="13613"/>
      <c r="S10" s="13614"/>
      <c r="T10" s="13615"/>
    </row>
    <row r="11">
      <c r="A11" s="13616" t="s">
        <v>90</v>
      </c>
      <c r="B11" s="13617">
        <v>18</v>
      </c>
      <c r="C11" s="13618">
        <v>544</v>
      </c>
      <c r="D11" s="13619">
        <v>3.308823529411765</v>
      </c>
      <c r="E11" s="13620"/>
      <c r="F11" s="13621"/>
      <c r="G11" s="13622"/>
      <c r="H11" s="13623"/>
      <c r="I11" s="13624"/>
      <c r="J11" s="13625"/>
      <c r="K11" s="13626"/>
      <c r="L11" s="13627"/>
      <c r="M11" s="13628"/>
      <c r="N11" s="13629"/>
      <c r="O11" s="13630"/>
      <c r="P11" s="13631"/>
      <c r="Q11" s="13632"/>
      <c r="R11" s="13633"/>
      <c r="S11" s="13634"/>
      <c r="T11" s="13635"/>
    </row>
    <row r="12">
      <c r="A12" s="13636" t="s">
        <v>91</v>
      </c>
      <c r="B12" s="13637">
        <v>12</v>
      </c>
      <c r="C12" s="13638">
        <v>550</v>
      </c>
      <c r="D12" s="13639">
        <v>2.1818181818181821</v>
      </c>
      <c r="E12" s="13640"/>
      <c r="F12" s="13641"/>
      <c r="G12" s="13642"/>
      <c r="H12" s="13643"/>
      <c r="I12" s="13644"/>
      <c r="J12" s="13645"/>
      <c r="K12" s="13646"/>
      <c r="L12" s="13647"/>
      <c r="M12" s="13648"/>
      <c r="N12" s="13649"/>
      <c r="O12" s="13650"/>
      <c r="P12" s="13651"/>
      <c r="Q12" s="13652"/>
      <c r="R12" s="13653"/>
      <c r="S12" s="13654"/>
      <c r="T12" s="13655"/>
    </row>
    <row r="13">
      <c r="A13" s="13656" t="s">
        <v>92</v>
      </c>
      <c r="B13" s="13657">
        <v>31</v>
      </c>
      <c r="C13" s="13658">
        <v>622</v>
      </c>
      <c r="D13" s="13659">
        <v>4.983922829581994</v>
      </c>
      <c r="E13" s="13660"/>
      <c r="F13" s="13661"/>
      <c r="G13" s="13662"/>
      <c r="H13" s="13663"/>
      <c r="I13" s="13664"/>
      <c r="J13" s="13665"/>
      <c r="K13" s="13666"/>
      <c r="L13" s="13667"/>
      <c r="M13" s="13668"/>
      <c r="N13" s="13669"/>
      <c r="O13" s="13670"/>
      <c r="P13" s="13671"/>
      <c r="Q13" s="13672"/>
      <c r="R13" s="13673"/>
      <c r="S13" s="13674"/>
      <c r="T13" s="13675"/>
    </row>
    <row r="14">
      <c r="A14" s="13676" t="s">
        <v>93</v>
      </c>
      <c r="B14" s="13677">
        <v>2</v>
      </c>
      <c r="C14" s="13678">
        <v>563</v>
      </c>
      <c r="D14" s="13679">
        <v>0.35523978685612789</v>
      </c>
      <c r="E14" s="13680"/>
      <c r="F14" s="13681"/>
      <c r="G14" s="13682"/>
      <c r="H14" s="13683"/>
      <c r="I14" s="13684"/>
      <c r="J14" s="13685"/>
      <c r="K14" s="13686"/>
      <c r="L14" s="13687"/>
      <c r="M14" s="13688"/>
      <c r="N14" s="13689"/>
      <c r="O14" s="13690"/>
      <c r="P14" s="13691"/>
      <c r="Q14" s="13692"/>
      <c r="R14" s="13693"/>
      <c r="S14" s="13694"/>
      <c r="T14" s="13695"/>
    </row>
    <row r="15">
      <c r="A15" s="13696" t="s">
        <v>94</v>
      </c>
      <c r="B15" s="13697">
        <v>31</v>
      </c>
      <c r="C15" s="13698">
        <v>529</v>
      </c>
      <c r="D15" s="13699">
        <v>5.8601134215500945</v>
      </c>
      <c r="E15" s="13700"/>
      <c r="F15" s="13701"/>
      <c r="G15" s="13702"/>
      <c r="H15" s="13703"/>
      <c r="I15" s="13704"/>
      <c r="J15" s="13705"/>
      <c r="K15" s="13706"/>
      <c r="L15" s="13707"/>
      <c r="M15" s="13708"/>
      <c r="N15" s="13709"/>
      <c r="O15" s="13710"/>
      <c r="P15" s="13711"/>
      <c r="Q15" s="13712"/>
      <c r="R15" s="13713"/>
      <c r="S15" s="13714"/>
      <c r="T15" s="13715"/>
    </row>
    <row r="16">
      <c r="A16" s="13716" t="s">
        <v>95</v>
      </c>
      <c r="B16" s="13717">
        <v>71</v>
      </c>
      <c r="C16" s="13718">
        <v>569</v>
      </c>
      <c r="D16" s="13719">
        <v>12.478031634446397</v>
      </c>
      <c r="E16" s="13720"/>
      <c r="F16" s="13721"/>
      <c r="G16" s="13722"/>
      <c r="H16" s="13723"/>
      <c r="I16" s="13724"/>
      <c r="J16" s="13725"/>
      <c r="K16" s="13726"/>
      <c r="L16" s="13727"/>
      <c r="M16" s="13728"/>
      <c r="N16" s="13729"/>
      <c r="O16" s="13730"/>
      <c r="P16" s="13731"/>
      <c r="Q16" s="13732"/>
      <c r="R16" s="13733"/>
      <c r="S16" s="13734"/>
      <c r="T16" s="13735"/>
    </row>
    <row r="17">
      <c r="A17" s="13736" t="s">
        <v>96</v>
      </c>
      <c r="B17" s="13737">
        <v>172</v>
      </c>
      <c r="C17" s="13738">
        <v>624</v>
      </c>
      <c r="D17" s="13739">
        <v>27.564102564102566</v>
      </c>
      <c r="E17" s="13740"/>
      <c r="F17" s="13741"/>
      <c r="G17" s="13742"/>
      <c r="H17" s="13743"/>
      <c r="I17" s="13744"/>
      <c r="J17" s="13745"/>
      <c r="K17" s="13746"/>
      <c r="L17" s="13747"/>
      <c r="M17" s="13748"/>
      <c r="N17" s="13749"/>
      <c r="O17" s="13750"/>
      <c r="P17" s="13751"/>
      <c r="Q17" s="13752"/>
      <c r="R17" s="13753"/>
      <c r="S17" s="13754"/>
      <c r="T17" s="13755"/>
    </row>
    <row r="18">
      <c r="A18" s="13756" t="s">
        <v>97</v>
      </c>
      <c r="B18" s="13757">
        <v>451</v>
      </c>
      <c r="C18" s="13758">
        <v>7284</v>
      </c>
      <c r="D18" s="13759">
        <v>6.1916529379461833</v>
      </c>
      <c r="E18" s="13760"/>
      <c r="F18" s="13761"/>
      <c r="G18" s="13762"/>
      <c r="H18" s="13763"/>
      <c r="I18" s="13764"/>
      <c r="J18" s="13765"/>
      <c r="K18" s="13766"/>
      <c r="L18" s="13767"/>
      <c r="M18" s="13768"/>
      <c r="N18" s="13769"/>
      <c r="O18" s="13770"/>
      <c r="P18" s="13771"/>
      <c r="Q18" s="13772"/>
      <c r="R18" s="13773"/>
      <c r="S18" s="13774"/>
      <c r="T18" s="13775"/>
    </row>
    <row r="19">
      <c r="A19" s="13776" t="s">
        <v>98</v>
      </c>
      <c r="B19" s="13777"/>
      <c r="C19" s="13778"/>
      <c r="D19" s="13779"/>
      <c r="E19" s="13780"/>
      <c r="F19" s="13781"/>
      <c r="G19" s="13782"/>
      <c r="H19" s="13783"/>
      <c r="I19" s="13784"/>
      <c r="J19" s="13785"/>
      <c r="K19" s="13786"/>
      <c r="L19" s="13787"/>
      <c r="M19" s="13788"/>
      <c r="N19" s="13789"/>
      <c r="O19" s="13790"/>
      <c r="P19" s="13791"/>
      <c r="Q19" s="13792"/>
      <c r="R19" s="13793"/>
      <c r="S19" s="13794"/>
      <c r="T19" s="13795"/>
    </row>
    <row r="20">
      <c r="A20" s="13796" t="s">
        <v>124</v>
      </c>
      <c r="B20" s="13797"/>
      <c r="C20" s="13798"/>
      <c r="D20" s="13799"/>
      <c r="E20" s="13800"/>
      <c r="F20" s="13801"/>
      <c r="G20" s="13802"/>
      <c r="H20" s="13803"/>
      <c r="I20" s="13804"/>
      <c r="J20" s="13805"/>
      <c r="K20" s="13806"/>
      <c r="L20" s="13807"/>
      <c r="M20" s="13808"/>
      <c r="N20" s="13809"/>
      <c r="O20" s="13810"/>
      <c r="P20" s="13811"/>
      <c r="Q20" s="13812"/>
      <c r="R20" s="13813"/>
      <c r="S20" s="13814"/>
      <c r="T20" s="13815"/>
    </row>
    <row r="21">
      <c r="A21" t="s">
        <v>125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1"/>
  <sheetViews>
    <sheetView workbookViewId="0"/>
  </sheetViews>
  <sheetFormatPr defaultRowHeight="15"/>
  <cols>
    <col min="1" max="6" width="15.453125" style="13816" customWidth="true"/>
  </cols>
  <sheetData>
    <row r="1">
      <c r="A1" s="13817" t="s">
        <v>126</v>
      </c>
      <c r="B1" s="13818"/>
      <c r="C1" s="13819"/>
      <c r="D1" s="13820"/>
      <c r="E1" s="13821"/>
      <c r="F1" s="13822"/>
      <c r="G1" s="13823"/>
      <c r="H1" s="13824"/>
      <c r="I1" s="13825"/>
      <c r="J1" s="13826"/>
      <c r="K1" s="13827"/>
      <c r="L1" s="13828"/>
      <c r="M1" s="13829"/>
      <c r="N1" s="13830"/>
      <c r="O1" s="13831"/>
      <c r="P1" s="13832"/>
      <c r="Q1" s="13833"/>
      <c r="R1" s="13834"/>
      <c r="S1" s="13835"/>
      <c r="T1" s="13836"/>
    </row>
    <row r="2">
      <c r="A2" s="13837"/>
      <c r="B2" s="13838" t="s">
        <v>79</v>
      </c>
      <c r="C2" s="13839" t="s">
        <v>80</v>
      </c>
      <c r="D2" s="13840" t="s">
        <v>81</v>
      </c>
      <c r="E2" s="13841"/>
      <c r="F2" s="13842"/>
      <c r="G2" s="13843"/>
      <c r="H2" s="13844"/>
      <c r="I2" s="13845"/>
      <c r="J2" s="13846"/>
      <c r="K2" s="13847"/>
      <c r="L2" s="13848"/>
      <c r="M2" s="13849"/>
      <c r="N2" s="13850"/>
      <c r="O2" s="13851"/>
      <c r="P2" s="13852"/>
      <c r="Q2" s="13853"/>
      <c r="R2" s="13854"/>
      <c r="S2" s="13855"/>
      <c r="T2" s="13856"/>
    </row>
    <row r="3">
      <c r="A3" s="13857" t="s">
        <v>82</v>
      </c>
      <c r="B3" s="13858"/>
      <c r="C3" s="13859"/>
      <c r="D3" s="13860"/>
      <c r="E3" s="13861"/>
      <c r="F3" s="13862"/>
      <c r="G3" s="13863"/>
      <c r="H3" s="13864"/>
      <c r="I3" s="13865"/>
      <c r="J3" s="13866"/>
      <c r="K3" s="13867"/>
      <c r="L3" s="13868"/>
      <c r="M3" s="13869"/>
      <c r="N3" s="13870"/>
      <c r="O3" s="13871"/>
      <c r="P3" s="13872"/>
      <c r="Q3" s="13873"/>
      <c r="R3" s="13874"/>
      <c r="S3" s="13875"/>
      <c r="T3" s="13876"/>
    </row>
    <row r="4">
      <c r="A4" s="13877" t="s">
        <v>83</v>
      </c>
      <c r="B4" s="13878">
        <v>75</v>
      </c>
      <c r="C4" s="13879">
        <v>429</v>
      </c>
      <c r="D4" s="13880">
        <v>17.482517482517483</v>
      </c>
      <c r="E4" s="13881"/>
      <c r="F4" s="13882"/>
      <c r="G4" s="13883"/>
      <c r="H4" s="13884"/>
      <c r="I4" s="13885"/>
      <c r="J4" s="13886"/>
      <c r="K4" s="13887"/>
      <c r="L4" s="13888"/>
      <c r="M4" s="13889"/>
      <c r="N4" s="13890"/>
      <c r="O4" s="13891"/>
      <c r="P4" s="13892"/>
      <c r="Q4" s="13893"/>
      <c r="R4" s="13894"/>
      <c r="S4" s="13895"/>
      <c r="T4" s="13896"/>
    </row>
    <row r="5">
      <c r="A5" s="13897" t="s">
        <v>84</v>
      </c>
      <c r="B5" s="13898">
        <v>98</v>
      </c>
      <c r="C5" s="13899">
        <v>385</v>
      </c>
      <c r="D5" s="13900">
        <v>25.454545454545453</v>
      </c>
      <c r="E5" s="13901"/>
      <c r="F5" s="13902"/>
      <c r="G5" s="13903"/>
      <c r="H5" s="13904"/>
      <c r="I5" s="13905"/>
      <c r="J5" s="13906"/>
      <c r="K5" s="13907"/>
      <c r="L5" s="13908"/>
      <c r="M5" s="13909"/>
      <c r="N5" s="13910"/>
      <c r="O5" s="13911"/>
      <c r="P5" s="13912"/>
      <c r="Q5" s="13913"/>
      <c r="R5" s="13914"/>
      <c r="S5" s="13915"/>
      <c r="T5" s="13916"/>
    </row>
    <row r="6">
      <c r="A6" s="13917" t="s">
        <v>85</v>
      </c>
      <c r="B6" s="13918">
        <v>100</v>
      </c>
      <c r="C6" s="13919">
        <v>397</v>
      </c>
      <c r="D6" s="13920">
        <v>25.188916876574307</v>
      </c>
      <c r="E6" s="13921"/>
      <c r="F6" s="13922"/>
      <c r="G6" s="13923"/>
      <c r="H6" s="13924"/>
      <c r="I6" s="13925"/>
      <c r="J6" s="13926"/>
      <c r="K6" s="13927"/>
      <c r="L6" s="13928"/>
      <c r="M6" s="13929"/>
      <c r="N6" s="13930"/>
      <c r="O6" s="13931"/>
      <c r="P6" s="13932"/>
      <c r="Q6" s="13933"/>
      <c r="R6" s="13934"/>
      <c r="S6" s="13935"/>
      <c r="T6" s="13936"/>
    </row>
    <row r="7">
      <c r="A7" s="13937" t="s">
        <v>86</v>
      </c>
      <c r="B7" s="13938">
        <v>131</v>
      </c>
      <c r="C7" s="13939">
        <v>544</v>
      </c>
      <c r="D7" s="13940">
        <v>24.080882352941178</v>
      </c>
      <c r="E7" s="13941"/>
      <c r="F7" s="13942"/>
      <c r="G7" s="13943"/>
      <c r="H7" s="13944"/>
      <c r="I7" s="13945"/>
      <c r="J7" s="13946"/>
      <c r="K7" s="13947"/>
      <c r="L7" s="13948"/>
      <c r="M7" s="13949"/>
      <c r="N7" s="13950"/>
      <c r="O7" s="13951"/>
      <c r="P7" s="13952"/>
      <c r="Q7" s="13953"/>
      <c r="R7" s="13954"/>
      <c r="S7" s="13955"/>
      <c r="T7" s="13956"/>
    </row>
    <row r="8">
      <c r="A8" s="13957" t="s">
        <v>87</v>
      </c>
      <c r="B8" s="13958">
        <v>109</v>
      </c>
      <c r="C8" s="13959">
        <v>481</v>
      </c>
      <c r="D8" s="13960">
        <v>22.661122661122661</v>
      </c>
      <c r="E8" s="13961"/>
      <c r="F8" s="13962"/>
      <c r="G8" s="13963"/>
      <c r="H8" s="13964"/>
      <c r="I8" s="13965"/>
      <c r="J8" s="13966"/>
      <c r="K8" s="13967"/>
      <c r="L8" s="13968"/>
      <c r="M8" s="13969"/>
      <c r="N8" s="13970"/>
      <c r="O8" s="13971"/>
      <c r="P8" s="13972"/>
      <c r="Q8" s="13973"/>
      <c r="R8" s="13974"/>
      <c r="S8" s="13975"/>
      <c r="T8" s="13976"/>
    </row>
    <row r="9">
      <c r="A9" s="13977" t="s">
        <v>88</v>
      </c>
      <c r="B9" s="13978">
        <v>98</v>
      </c>
      <c r="C9" s="13979">
        <v>484</v>
      </c>
      <c r="D9" s="13980">
        <v>20.24793388429752</v>
      </c>
      <c r="E9" s="13981"/>
      <c r="F9" s="13982"/>
      <c r="G9" s="13983"/>
      <c r="H9" s="13984"/>
      <c r="I9" s="13985"/>
      <c r="J9" s="13986"/>
      <c r="K9" s="13987"/>
      <c r="L9" s="13988"/>
      <c r="M9" s="13989"/>
      <c r="N9" s="13990"/>
      <c r="O9" s="13991"/>
      <c r="P9" s="13992"/>
      <c r="Q9" s="13993"/>
      <c r="R9" s="13994"/>
      <c r="S9" s="13995"/>
      <c r="T9" s="13996"/>
    </row>
    <row r="10">
      <c r="A10" s="13997" t="s">
        <v>89</v>
      </c>
      <c r="B10" s="13998">
        <v>176</v>
      </c>
      <c r="C10" s="13999">
        <v>563</v>
      </c>
      <c r="D10" s="14000">
        <v>31.261101243339258</v>
      </c>
      <c r="E10" s="14001"/>
      <c r="F10" s="14002"/>
      <c r="G10" s="14003"/>
      <c r="H10" s="14004"/>
      <c r="I10" s="14005"/>
      <c r="J10" s="14006"/>
      <c r="K10" s="14007"/>
      <c r="L10" s="14008"/>
      <c r="M10" s="14009"/>
      <c r="N10" s="14010"/>
      <c r="O10" s="14011"/>
      <c r="P10" s="14012"/>
      <c r="Q10" s="14013"/>
      <c r="R10" s="14014"/>
      <c r="S10" s="14015"/>
      <c r="T10" s="14016"/>
    </row>
    <row r="11">
      <c r="A11" s="14017" t="s">
        <v>90</v>
      </c>
      <c r="B11" s="14018">
        <v>126</v>
      </c>
      <c r="C11" s="14019">
        <v>544</v>
      </c>
      <c r="D11" s="14020">
        <v>23.161764705882355</v>
      </c>
      <c r="E11" s="14021"/>
      <c r="F11" s="14022"/>
      <c r="G11" s="14023"/>
      <c r="H11" s="14024"/>
      <c r="I11" s="14025"/>
      <c r="J11" s="14026"/>
      <c r="K11" s="14027"/>
      <c r="L11" s="14028"/>
      <c r="M11" s="14029"/>
      <c r="N11" s="14030"/>
      <c r="O11" s="14031"/>
      <c r="P11" s="14032"/>
      <c r="Q11" s="14033"/>
      <c r="R11" s="14034"/>
      <c r="S11" s="14035"/>
      <c r="T11" s="14036"/>
    </row>
    <row r="12">
      <c r="A12" s="14037" t="s">
        <v>91</v>
      </c>
      <c r="B12" s="14038">
        <v>104</v>
      </c>
      <c r="C12" s="14039">
        <v>550</v>
      </c>
      <c r="D12" s="14040">
        <v>18.90909090909091</v>
      </c>
      <c r="E12" s="14041"/>
      <c r="F12" s="14042"/>
      <c r="G12" s="14043"/>
      <c r="H12" s="14044"/>
      <c r="I12" s="14045"/>
      <c r="J12" s="14046"/>
      <c r="K12" s="14047"/>
      <c r="L12" s="14048"/>
      <c r="M12" s="14049"/>
      <c r="N12" s="14050"/>
      <c r="O12" s="14051"/>
      <c r="P12" s="14052"/>
      <c r="Q12" s="14053"/>
      <c r="R12" s="14054"/>
      <c r="S12" s="14055"/>
      <c r="T12" s="14056"/>
    </row>
    <row r="13">
      <c r="A13" s="14057" t="s">
        <v>92</v>
      </c>
      <c r="B13" s="14058">
        <v>146</v>
      </c>
      <c r="C13" s="14059">
        <v>622</v>
      </c>
      <c r="D13" s="14060">
        <v>23.472668810289392</v>
      </c>
      <c r="E13" s="14061"/>
      <c r="F13" s="14062"/>
      <c r="G13" s="14063"/>
      <c r="H13" s="14064"/>
      <c r="I13" s="14065"/>
      <c r="J13" s="14066"/>
      <c r="K13" s="14067"/>
      <c r="L13" s="14068"/>
      <c r="M13" s="14069"/>
      <c r="N13" s="14070"/>
      <c r="O13" s="14071"/>
      <c r="P13" s="14072"/>
      <c r="Q13" s="14073"/>
      <c r="R13" s="14074"/>
      <c r="S13" s="14075"/>
      <c r="T13" s="14076"/>
    </row>
    <row r="14">
      <c r="A14" s="14077" t="s">
        <v>93</v>
      </c>
      <c r="B14" s="14078">
        <v>115</v>
      </c>
      <c r="C14" s="14079">
        <v>563</v>
      </c>
      <c r="D14" s="14080">
        <v>20.426287744227352</v>
      </c>
      <c r="E14" s="14081"/>
      <c r="F14" s="14082"/>
      <c r="G14" s="14083"/>
      <c r="H14" s="14084"/>
      <c r="I14" s="14085"/>
      <c r="J14" s="14086"/>
      <c r="K14" s="14087"/>
      <c r="L14" s="14088"/>
      <c r="M14" s="14089"/>
      <c r="N14" s="14090"/>
      <c r="O14" s="14091"/>
      <c r="P14" s="14092"/>
      <c r="Q14" s="14093"/>
      <c r="R14" s="14094"/>
      <c r="S14" s="14095"/>
      <c r="T14" s="14096"/>
    </row>
    <row r="15">
      <c r="A15" s="14097" t="s">
        <v>94</v>
      </c>
      <c r="B15" s="14098">
        <v>154</v>
      </c>
      <c r="C15" s="14099">
        <v>529</v>
      </c>
      <c r="D15" s="14100">
        <v>29.111531190926275</v>
      </c>
      <c r="E15" s="14101"/>
      <c r="F15" s="14102"/>
      <c r="G15" s="14103"/>
      <c r="H15" s="14104"/>
      <c r="I15" s="14105"/>
      <c r="J15" s="14106"/>
      <c r="K15" s="14107"/>
      <c r="L15" s="14108"/>
      <c r="M15" s="14109"/>
      <c r="N15" s="14110"/>
      <c r="O15" s="14111"/>
      <c r="P15" s="14112"/>
      <c r="Q15" s="14113"/>
      <c r="R15" s="14114"/>
      <c r="S15" s="14115"/>
      <c r="T15" s="14116"/>
    </row>
    <row r="16">
      <c r="A16" s="14117" t="s">
        <v>95</v>
      </c>
      <c r="B16" s="14118">
        <v>215</v>
      </c>
      <c r="C16" s="14119">
        <v>569</v>
      </c>
      <c r="D16" s="14120">
        <v>37.785588752196837</v>
      </c>
      <c r="E16" s="14121"/>
      <c r="F16" s="14122"/>
      <c r="G16" s="14123"/>
      <c r="H16" s="14124"/>
      <c r="I16" s="14125"/>
      <c r="J16" s="14126"/>
      <c r="K16" s="14127"/>
      <c r="L16" s="14128"/>
      <c r="M16" s="14129"/>
      <c r="N16" s="14130"/>
      <c r="O16" s="14131"/>
      <c r="P16" s="14132"/>
      <c r="Q16" s="14133"/>
      <c r="R16" s="14134"/>
      <c r="S16" s="14135"/>
      <c r="T16" s="14136"/>
    </row>
    <row r="17">
      <c r="A17" s="14137" t="s">
        <v>96</v>
      </c>
      <c r="B17" s="14138">
        <v>307</v>
      </c>
      <c r="C17" s="14139">
        <v>624</v>
      </c>
      <c r="D17" s="14140">
        <v>49.198717948717949</v>
      </c>
      <c r="E17" s="14141"/>
      <c r="F17" s="14142"/>
      <c r="G17" s="14143"/>
      <c r="H17" s="14144"/>
      <c r="I17" s="14145"/>
      <c r="J17" s="14146"/>
      <c r="K17" s="14147"/>
      <c r="L17" s="14148"/>
      <c r="M17" s="14149"/>
      <c r="N17" s="14150"/>
      <c r="O17" s="14151"/>
      <c r="P17" s="14152"/>
      <c r="Q17" s="14153"/>
      <c r="R17" s="14154"/>
      <c r="S17" s="14155"/>
      <c r="T17" s="14156"/>
    </row>
    <row r="18">
      <c r="A18" s="14157" t="s">
        <v>97</v>
      </c>
      <c r="B18" s="14158">
        <v>1954</v>
      </c>
      <c r="C18" s="14159">
        <v>7284</v>
      </c>
      <c r="D18" s="14160">
        <v>26.825919824272376</v>
      </c>
      <c r="E18" s="14161"/>
      <c r="F18" s="14162"/>
      <c r="G18" s="14163"/>
      <c r="H18" s="14164"/>
      <c r="I18" s="14165"/>
      <c r="J18" s="14166"/>
      <c r="K18" s="14167"/>
      <c r="L18" s="14168"/>
      <c r="M18" s="14169"/>
      <c r="N18" s="14170"/>
      <c r="O18" s="14171"/>
      <c r="P18" s="14172"/>
      <c r="Q18" s="14173"/>
      <c r="R18" s="14174"/>
      <c r="S18" s="14175"/>
      <c r="T18" s="14176"/>
    </row>
    <row r="19">
      <c r="A19" s="14177" t="s">
        <v>98</v>
      </c>
      <c r="B19" s="14178"/>
      <c r="C19" s="14179"/>
      <c r="D19" s="14180"/>
      <c r="E19" s="14181"/>
      <c r="F19" s="14182"/>
      <c r="G19" s="14183"/>
      <c r="H19" s="14184"/>
      <c r="I19" s="14185"/>
      <c r="J19" s="14186"/>
      <c r="K19" s="14187"/>
      <c r="L19" s="14188"/>
      <c r="M19" s="14189"/>
      <c r="N19" s="14190"/>
      <c r="O19" s="14191"/>
      <c r="P19" s="14192"/>
      <c r="Q19" s="14193"/>
      <c r="R19" s="14194"/>
      <c r="S19" s="14195"/>
      <c r="T19" s="14196"/>
    </row>
    <row r="20">
      <c r="A20" s="14197" t="s">
        <v>124</v>
      </c>
      <c r="B20" s="14198"/>
      <c r="C20" s="14199"/>
      <c r="D20" s="14200"/>
      <c r="E20" s="14201"/>
      <c r="F20" s="14202"/>
      <c r="G20" s="14203"/>
      <c r="H20" s="14204"/>
      <c r="I20" s="14205"/>
      <c r="J20" s="14206"/>
      <c r="K20" s="14207"/>
      <c r="L20" s="14208"/>
      <c r="M20" s="14209"/>
      <c r="N20" s="14210"/>
      <c r="O20" s="14211"/>
      <c r="P20" s="14212"/>
      <c r="Q20" s="14213"/>
      <c r="R20" s="14214"/>
      <c r="S20" s="14215"/>
      <c r="T20" s="14216"/>
    </row>
    <row r="21">
      <c r="A21" t="s">
        <v>127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1"/>
  <sheetViews>
    <sheetView workbookViewId="0"/>
  </sheetViews>
  <sheetFormatPr defaultRowHeight="15"/>
  <cols>
    <col min="1" max="6" width="15.453125" style="14217" customWidth="true"/>
  </cols>
  <sheetData>
    <row r="1">
      <c r="A1" s="14218" t="s">
        <v>128</v>
      </c>
      <c r="B1" s="14219"/>
      <c r="C1" s="14220"/>
      <c r="D1" s="14221"/>
      <c r="E1" s="14222"/>
      <c r="F1" s="14223"/>
      <c r="G1" s="14224"/>
      <c r="H1" s="14225"/>
      <c r="I1" s="14226"/>
      <c r="J1" s="14227"/>
      <c r="K1" s="14228"/>
      <c r="L1" s="14229"/>
      <c r="M1" s="14230"/>
      <c r="N1" s="14231"/>
      <c r="O1" s="14232"/>
      <c r="P1" s="14233"/>
      <c r="Q1" s="14234"/>
      <c r="R1" s="14235"/>
      <c r="S1" s="14236"/>
      <c r="T1" s="14237"/>
    </row>
    <row r="2">
      <c r="A2" s="14238"/>
      <c r="B2" s="14239" t="s">
        <v>79</v>
      </c>
      <c r="C2" s="14240" t="s">
        <v>80</v>
      </c>
      <c r="D2" s="14241" t="s">
        <v>81</v>
      </c>
      <c r="E2" s="14242"/>
      <c r="F2" s="14243"/>
      <c r="G2" s="14244"/>
      <c r="H2" s="14245"/>
      <c r="I2" s="14246"/>
      <c r="J2" s="14247"/>
      <c r="K2" s="14248"/>
      <c r="L2" s="14249"/>
      <c r="M2" s="14250"/>
      <c r="N2" s="14251"/>
      <c r="O2" s="14252"/>
      <c r="P2" s="14253"/>
      <c r="Q2" s="14254"/>
      <c r="R2" s="14255"/>
      <c r="S2" s="14256"/>
      <c r="T2" s="14257"/>
    </row>
    <row r="3">
      <c r="A3" s="14258" t="s">
        <v>82</v>
      </c>
      <c r="B3" s="14259"/>
      <c r="C3" s="14260"/>
      <c r="D3" s="14261"/>
      <c r="E3" s="14262"/>
      <c r="F3" s="14263"/>
      <c r="G3" s="14264"/>
      <c r="H3" s="14265"/>
      <c r="I3" s="14266"/>
      <c r="J3" s="14267"/>
      <c r="K3" s="14268"/>
      <c r="L3" s="14269"/>
      <c r="M3" s="14270"/>
      <c r="N3" s="14271"/>
      <c r="O3" s="14272"/>
      <c r="P3" s="14273"/>
      <c r="Q3" s="14274"/>
      <c r="R3" s="14275"/>
      <c r="S3" s="14276"/>
      <c r="T3" s="14277"/>
    </row>
    <row r="4">
      <c r="A4" s="14278" t="s">
        <v>83</v>
      </c>
      <c r="B4" s="14279">
        <v>76</v>
      </c>
      <c r="C4" s="14280">
        <v>429</v>
      </c>
      <c r="D4" s="14281">
        <v>17.715617715617714</v>
      </c>
      <c r="E4" s="14282"/>
      <c r="F4" s="14283"/>
      <c r="G4" s="14284"/>
      <c r="H4" s="14285"/>
      <c r="I4" s="14286"/>
      <c r="J4" s="14287"/>
      <c r="K4" s="14288"/>
      <c r="L4" s="14289"/>
      <c r="M4" s="14290"/>
      <c r="N4" s="14291"/>
      <c r="O4" s="14292"/>
      <c r="P4" s="14293"/>
      <c r="Q4" s="14294"/>
      <c r="R4" s="14295"/>
      <c r="S4" s="14296"/>
      <c r="T4" s="14297"/>
    </row>
    <row r="5">
      <c r="A5" s="14298" t="s">
        <v>84</v>
      </c>
      <c r="B5" s="14299">
        <v>96</v>
      </c>
      <c r="C5" s="14300">
        <v>385</v>
      </c>
      <c r="D5" s="14301">
        <v>24.935064935064936</v>
      </c>
      <c r="E5" s="14302"/>
      <c r="F5" s="14303"/>
      <c r="G5" s="14304"/>
      <c r="H5" s="14305"/>
      <c r="I5" s="14306"/>
      <c r="J5" s="14307"/>
      <c r="K5" s="14308"/>
      <c r="L5" s="14309"/>
      <c r="M5" s="14310"/>
      <c r="N5" s="14311"/>
      <c r="O5" s="14312"/>
      <c r="P5" s="14313"/>
      <c r="Q5" s="14314"/>
      <c r="R5" s="14315"/>
      <c r="S5" s="14316"/>
      <c r="T5" s="14317"/>
    </row>
    <row r="6">
      <c r="A6" s="14318" t="s">
        <v>85</v>
      </c>
      <c r="B6" s="14319">
        <v>100</v>
      </c>
      <c r="C6" s="14320">
        <v>397</v>
      </c>
      <c r="D6" s="14321">
        <v>25.188916876574307</v>
      </c>
      <c r="E6" s="14322"/>
      <c r="F6" s="14323"/>
      <c r="G6" s="14324"/>
      <c r="H6" s="14325"/>
      <c r="I6" s="14326"/>
      <c r="J6" s="14327"/>
      <c r="K6" s="14328"/>
      <c r="L6" s="14329"/>
      <c r="M6" s="14330"/>
      <c r="N6" s="14331"/>
      <c r="O6" s="14332"/>
      <c r="P6" s="14333"/>
      <c r="Q6" s="14334"/>
      <c r="R6" s="14335"/>
      <c r="S6" s="14336"/>
      <c r="T6" s="14337"/>
    </row>
    <row r="7">
      <c r="A7" s="14338" t="s">
        <v>86</v>
      </c>
      <c r="B7" s="14339">
        <v>131</v>
      </c>
      <c r="C7" s="14340">
        <v>544</v>
      </c>
      <c r="D7" s="14341">
        <v>24.080882352941178</v>
      </c>
      <c r="E7" s="14342"/>
      <c r="F7" s="14343"/>
      <c r="G7" s="14344"/>
      <c r="H7" s="14345"/>
      <c r="I7" s="14346"/>
      <c r="J7" s="14347"/>
      <c r="K7" s="14348"/>
      <c r="L7" s="14349"/>
      <c r="M7" s="14350"/>
      <c r="N7" s="14351"/>
      <c r="O7" s="14352"/>
      <c r="P7" s="14353"/>
      <c r="Q7" s="14354"/>
      <c r="R7" s="14355"/>
      <c r="S7" s="14356"/>
      <c r="T7" s="14357"/>
    </row>
    <row r="8">
      <c r="A8" s="14358" t="s">
        <v>87</v>
      </c>
      <c r="B8" s="14359">
        <v>109</v>
      </c>
      <c r="C8" s="14360">
        <v>481</v>
      </c>
      <c r="D8" s="14361">
        <v>22.661122661122661</v>
      </c>
      <c r="E8" s="14362"/>
      <c r="F8" s="14363"/>
      <c r="G8" s="14364"/>
      <c r="H8" s="14365"/>
      <c r="I8" s="14366"/>
      <c r="J8" s="14367"/>
      <c r="K8" s="14368"/>
      <c r="L8" s="14369"/>
      <c r="M8" s="14370"/>
      <c r="N8" s="14371"/>
      <c r="O8" s="14372"/>
      <c r="P8" s="14373"/>
      <c r="Q8" s="14374"/>
      <c r="R8" s="14375"/>
      <c r="S8" s="14376"/>
      <c r="T8" s="14377"/>
    </row>
    <row r="9">
      <c r="A9" s="14378" t="s">
        <v>88</v>
      </c>
      <c r="B9" s="14379">
        <v>97</v>
      </c>
      <c r="C9" s="14380">
        <v>484</v>
      </c>
      <c r="D9" s="14381">
        <v>20.041322314049587</v>
      </c>
      <c r="E9" s="14382"/>
      <c r="F9" s="14383"/>
      <c r="G9" s="14384"/>
      <c r="H9" s="14385"/>
      <c r="I9" s="14386"/>
      <c r="J9" s="14387"/>
      <c r="K9" s="14388"/>
      <c r="L9" s="14389"/>
      <c r="M9" s="14390"/>
      <c r="N9" s="14391"/>
      <c r="O9" s="14392"/>
      <c r="P9" s="14393"/>
      <c r="Q9" s="14394"/>
      <c r="R9" s="14395"/>
      <c r="S9" s="14396"/>
      <c r="T9" s="14397"/>
    </row>
    <row r="10">
      <c r="A10" s="14398" t="s">
        <v>89</v>
      </c>
      <c r="B10" s="14399">
        <v>176</v>
      </c>
      <c r="C10" s="14400">
        <v>563</v>
      </c>
      <c r="D10" s="14401">
        <v>31.261101243339258</v>
      </c>
      <c r="E10" s="14402"/>
      <c r="F10" s="14403"/>
      <c r="G10" s="14404"/>
      <c r="H10" s="14405"/>
      <c r="I10" s="14406"/>
      <c r="J10" s="14407"/>
      <c r="K10" s="14408"/>
      <c r="L10" s="14409"/>
      <c r="M10" s="14410"/>
      <c r="N10" s="14411"/>
      <c r="O10" s="14412"/>
      <c r="P10" s="14413"/>
      <c r="Q10" s="14414"/>
      <c r="R10" s="14415"/>
      <c r="S10" s="14416"/>
      <c r="T10" s="14417"/>
    </row>
    <row r="11">
      <c r="A11" s="14418" t="s">
        <v>90</v>
      </c>
      <c r="B11" s="14419">
        <v>126</v>
      </c>
      <c r="C11" s="14420">
        <v>544</v>
      </c>
      <c r="D11" s="14421">
        <v>23.161764705882355</v>
      </c>
      <c r="E11" s="14422"/>
      <c r="F11" s="14423"/>
      <c r="G11" s="14424"/>
      <c r="H11" s="14425"/>
      <c r="I11" s="14426"/>
      <c r="J11" s="14427"/>
      <c r="K11" s="14428"/>
      <c r="L11" s="14429"/>
      <c r="M11" s="14430"/>
      <c r="N11" s="14431"/>
      <c r="O11" s="14432"/>
      <c r="P11" s="14433"/>
      <c r="Q11" s="14434"/>
      <c r="R11" s="14435"/>
      <c r="S11" s="14436"/>
      <c r="T11" s="14437"/>
    </row>
    <row r="12">
      <c r="A12" s="14438" t="s">
        <v>91</v>
      </c>
      <c r="B12" s="14439">
        <v>104</v>
      </c>
      <c r="C12" s="14440">
        <v>550</v>
      </c>
      <c r="D12" s="14441">
        <v>18.90909090909091</v>
      </c>
      <c r="E12" s="14442"/>
      <c r="F12" s="14443"/>
      <c r="G12" s="14444"/>
      <c r="H12" s="14445"/>
      <c r="I12" s="14446"/>
      <c r="J12" s="14447"/>
      <c r="K12" s="14448"/>
      <c r="L12" s="14449"/>
      <c r="M12" s="14450"/>
      <c r="N12" s="14451"/>
      <c r="O12" s="14452"/>
      <c r="P12" s="14453"/>
      <c r="Q12" s="14454"/>
      <c r="R12" s="14455"/>
      <c r="S12" s="14456"/>
      <c r="T12" s="14457"/>
    </row>
    <row r="13">
      <c r="A13" s="14458" t="s">
        <v>92</v>
      </c>
      <c r="B13" s="14459">
        <v>146</v>
      </c>
      <c r="C13" s="14460">
        <v>622</v>
      </c>
      <c r="D13" s="14461">
        <v>23.472668810289392</v>
      </c>
      <c r="E13" s="14462"/>
      <c r="F13" s="14463"/>
      <c r="G13" s="14464"/>
      <c r="H13" s="14465"/>
      <c r="I13" s="14466"/>
      <c r="J13" s="14467"/>
      <c r="K13" s="14468"/>
      <c r="L13" s="14469"/>
      <c r="M13" s="14470"/>
      <c r="N13" s="14471"/>
      <c r="O13" s="14472"/>
      <c r="P13" s="14473"/>
      <c r="Q13" s="14474"/>
      <c r="R13" s="14475"/>
      <c r="S13" s="14476"/>
      <c r="T13" s="14477"/>
    </row>
    <row r="14">
      <c r="A14" s="14478" t="s">
        <v>93</v>
      </c>
      <c r="B14" s="14479">
        <v>115</v>
      </c>
      <c r="C14" s="14480">
        <v>563</v>
      </c>
      <c r="D14" s="14481">
        <v>20.426287744227352</v>
      </c>
      <c r="E14" s="14482"/>
      <c r="F14" s="14483"/>
      <c r="G14" s="14484"/>
      <c r="H14" s="14485"/>
      <c r="I14" s="14486"/>
      <c r="J14" s="14487"/>
      <c r="K14" s="14488"/>
      <c r="L14" s="14489"/>
      <c r="M14" s="14490"/>
      <c r="N14" s="14491"/>
      <c r="O14" s="14492"/>
      <c r="P14" s="14493"/>
      <c r="Q14" s="14494"/>
      <c r="R14" s="14495"/>
      <c r="S14" s="14496"/>
      <c r="T14" s="14497"/>
    </row>
    <row r="15">
      <c r="A15" s="14498" t="s">
        <v>94</v>
      </c>
      <c r="B15" s="14499">
        <v>153</v>
      </c>
      <c r="C15" s="14500">
        <v>529</v>
      </c>
      <c r="D15" s="14501">
        <v>28.922495274102079</v>
      </c>
      <c r="E15" s="14502"/>
      <c r="F15" s="14503"/>
      <c r="G15" s="14504"/>
      <c r="H15" s="14505"/>
      <c r="I15" s="14506"/>
      <c r="J15" s="14507"/>
      <c r="K15" s="14508"/>
      <c r="L15" s="14509"/>
      <c r="M15" s="14510"/>
      <c r="N15" s="14511"/>
      <c r="O15" s="14512"/>
      <c r="P15" s="14513"/>
      <c r="Q15" s="14514"/>
      <c r="R15" s="14515"/>
      <c r="S15" s="14516"/>
      <c r="T15" s="14517"/>
    </row>
    <row r="16">
      <c r="A16" s="14518" t="s">
        <v>95</v>
      </c>
      <c r="B16" s="14519">
        <v>213</v>
      </c>
      <c r="C16" s="14520">
        <v>569</v>
      </c>
      <c r="D16" s="14521">
        <v>37.434094903339194</v>
      </c>
      <c r="E16" s="14522"/>
      <c r="F16" s="14523"/>
      <c r="G16" s="14524"/>
      <c r="H16" s="14525"/>
      <c r="I16" s="14526"/>
      <c r="J16" s="14527"/>
      <c r="K16" s="14528"/>
      <c r="L16" s="14529"/>
      <c r="M16" s="14530"/>
      <c r="N16" s="14531"/>
      <c r="O16" s="14532"/>
      <c r="P16" s="14533"/>
      <c r="Q16" s="14534"/>
      <c r="R16" s="14535"/>
      <c r="S16" s="14536"/>
      <c r="T16" s="14537"/>
    </row>
    <row r="17">
      <c r="A17" s="14538" t="s">
        <v>96</v>
      </c>
      <c r="B17" s="14539">
        <v>302</v>
      </c>
      <c r="C17" s="14540">
        <v>624</v>
      </c>
      <c r="D17" s="14541">
        <v>48.397435897435898</v>
      </c>
      <c r="E17" s="14542"/>
      <c r="F17" s="14543"/>
      <c r="G17" s="14544"/>
      <c r="H17" s="14545"/>
      <c r="I17" s="14546"/>
      <c r="J17" s="14547"/>
      <c r="K17" s="14548"/>
      <c r="L17" s="14549"/>
      <c r="M17" s="14550"/>
      <c r="N17" s="14551"/>
      <c r="O17" s="14552"/>
      <c r="P17" s="14553"/>
      <c r="Q17" s="14554"/>
      <c r="R17" s="14555"/>
      <c r="S17" s="14556"/>
      <c r="T17" s="14557"/>
    </row>
    <row r="18">
      <c r="A18" s="14558" t="s">
        <v>97</v>
      </c>
      <c r="B18" s="14559">
        <v>1944</v>
      </c>
      <c r="C18" s="14560">
        <v>7284</v>
      </c>
      <c r="D18" s="14561">
        <v>26.688632619439869</v>
      </c>
      <c r="E18" s="14562"/>
      <c r="F18" s="14563"/>
      <c r="G18" s="14564"/>
      <c r="H18" s="14565"/>
      <c r="I18" s="14566"/>
      <c r="J18" s="14567"/>
      <c r="K18" s="14568"/>
      <c r="L18" s="14569"/>
      <c r="M18" s="14570"/>
      <c r="N18" s="14571"/>
      <c r="O18" s="14572"/>
      <c r="P18" s="14573"/>
      <c r="Q18" s="14574"/>
      <c r="R18" s="14575"/>
      <c r="S18" s="14576"/>
      <c r="T18" s="14577"/>
    </row>
    <row r="19">
      <c r="A19" s="14578" t="s">
        <v>98</v>
      </c>
      <c r="B19" s="14579"/>
      <c r="C19" s="14580"/>
      <c r="D19" s="14581"/>
      <c r="E19" s="14582"/>
      <c r="F19" s="14583"/>
      <c r="G19" s="14584"/>
      <c r="H19" s="14585"/>
      <c r="I19" s="14586"/>
      <c r="J19" s="14587"/>
      <c r="K19" s="14588"/>
      <c r="L19" s="14589"/>
      <c r="M19" s="14590"/>
      <c r="N19" s="14591"/>
      <c r="O19" s="14592"/>
      <c r="P19" s="14593"/>
      <c r="Q19" s="14594"/>
      <c r="R19" s="14595"/>
      <c r="S19" s="14596"/>
      <c r="T19" s="14597"/>
    </row>
    <row r="20">
      <c r="A20" s="14598" t="s">
        <v>124</v>
      </c>
      <c r="B20" s="14599"/>
      <c r="C20" s="14600"/>
      <c r="D20" s="14601"/>
      <c r="E20" s="14602"/>
      <c r="F20" s="14603"/>
      <c r="G20" s="14604"/>
      <c r="H20" s="14605"/>
      <c r="I20" s="14606"/>
      <c r="J20" s="14607"/>
      <c r="K20" s="14608"/>
      <c r="L20" s="14609"/>
      <c r="M20" s="14610"/>
      <c r="N20" s="14611"/>
      <c r="O20" s="14612"/>
      <c r="P20" s="14613"/>
      <c r="Q20" s="14614"/>
      <c r="R20" s="14615"/>
      <c r="S20" s="14616"/>
      <c r="T20" s="14617"/>
    </row>
    <row r="21">
      <c r="A21" t="s">
        <v>127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1"/>
  <sheetViews>
    <sheetView workbookViewId="0"/>
  </sheetViews>
  <sheetFormatPr defaultRowHeight="15"/>
  <cols>
    <col min="1" max="6" width="15.453125" style="14618" customWidth="true"/>
  </cols>
  <sheetData>
    <row r="1">
      <c r="A1" s="14619" t="s">
        <v>129</v>
      </c>
      <c r="B1" s="14620"/>
      <c r="C1" s="14621"/>
      <c r="D1" s="14622"/>
      <c r="E1" s="14623"/>
      <c r="F1" s="14624"/>
      <c r="G1" s="14625"/>
      <c r="H1" s="14626"/>
      <c r="I1" s="14627"/>
      <c r="J1" s="14628"/>
      <c r="K1" s="14629"/>
      <c r="L1" s="14630"/>
      <c r="M1" s="14631"/>
      <c r="N1" s="14632"/>
      <c r="O1" s="14633"/>
      <c r="P1" s="14634"/>
      <c r="Q1" s="14635"/>
      <c r="R1" s="14636"/>
      <c r="S1" s="14637"/>
      <c r="T1" s="14638"/>
    </row>
    <row r="2">
      <c r="A2" s="14639"/>
      <c r="B2" s="14640" t="s">
        <v>79</v>
      </c>
      <c r="C2" s="14641" t="s">
        <v>80</v>
      </c>
      <c r="D2" s="14642" t="s">
        <v>81</v>
      </c>
      <c r="E2" s="14643"/>
      <c r="F2" s="14644"/>
      <c r="G2" s="14645"/>
      <c r="H2" s="14646"/>
      <c r="I2" s="14647"/>
      <c r="J2" s="14648"/>
      <c r="K2" s="14649"/>
      <c r="L2" s="14650"/>
      <c r="M2" s="14651"/>
      <c r="N2" s="14652"/>
      <c r="O2" s="14653"/>
      <c r="P2" s="14654"/>
      <c r="Q2" s="14655"/>
      <c r="R2" s="14656"/>
      <c r="S2" s="14657"/>
      <c r="T2" s="14658"/>
    </row>
    <row r="3">
      <c r="A3" s="14659" t="s">
        <v>82</v>
      </c>
      <c r="B3" s="14660"/>
      <c r="C3" s="14661"/>
      <c r="D3" s="14662"/>
      <c r="E3" s="14663"/>
      <c r="F3" s="14664"/>
      <c r="G3" s="14665"/>
      <c r="H3" s="14666"/>
      <c r="I3" s="14667"/>
      <c r="J3" s="14668"/>
      <c r="K3" s="14669"/>
      <c r="L3" s="14670"/>
      <c r="M3" s="14671"/>
      <c r="N3" s="14672"/>
      <c r="O3" s="14673"/>
      <c r="P3" s="14674"/>
      <c r="Q3" s="14675"/>
      <c r="R3" s="14676"/>
      <c r="S3" s="14677"/>
      <c r="T3" s="14678"/>
    </row>
    <row r="4">
      <c r="A4" s="14679" t="s">
        <v>83</v>
      </c>
      <c r="B4" s="14680">
        <v>75</v>
      </c>
      <c r="C4" s="14681">
        <v>429</v>
      </c>
      <c r="D4" s="14682">
        <v>17.482517482517483</v>
      </c>
      <c r="E4" s="14683"/>
      <c r="F4" s="14684"/>
      <c r="G4" s="14685"/>
      <c r="H4" s="14686"/>
      <c r="I4" s="14687"/>
      <c r="J4" s="14688"/>
      <c r="K4" s="14689"/>
      <c r="L4" s="14690"/>
      <c r="M4" s="14691"/>
      <c r="N4" s="14692"/>
      <c r="O4" s="14693"/>
      <c r="P4" s="14694"/>
      <c r="Q4" s="14695"/>
      <c r="R4" s="14696"/>
      <c r="S4" s="14697"/>
      <c r="T4" s="14698"/>
    </row>
    <row r="5">
      <c r="A5" s="14699" t="s">
        <v>84</v>
      </c>
      <c r="B5" s="14700">
        <v>100</v>
      </c>
      <c r="C5" s="14701">
        <v>385</v>
      </c>
      <c r="D5" s="14702">
        <v>25.97402597402597</v>
      </c>
      <c r="E5" s="14703"/>
      <c r="F5" s="14704"/>
      <c r="G5" s="14705"/>
      <c r="H5" s="14706"/>
      <c r="I5" s="14707"/>
      <c r="J5" s="14708"/>
      <c r="K5" s="14709"/>
      <c r="L5" s="14710"/>
      <c r="M5" s="14711"/>
      <c r="N5" s="14712"/>
      <c r="O5" s="14713"/>
      <c r="P5" s="14714"/>
      <c r="Q5" s="14715"/>
      <c r="R5" s="14716"/>
      <c r="S5" s="14717"/>
      <c r="T5" s="14718"/>
    </row>
    <row r="6">
      <c r="A6" s="14719" t="s">
        <v>85</v>
      </c>
      <c r="B6" s="14720">
        <v>97</v>
      </c>
      <c r="C6" s="14721">
        <v>397</v>
      </c>
      <c r="D6" s="14722">
        <v>24.433249370277078</v>
      </c>
      <c r="E6" s="14723"/>
      <c r="F6" s="14724"/>
      <c r="G6" s="14725"/>
      <c r="H6" s="14726"/>
      <c r="I6" s="14727"/>
      <c r="J6" s="14728"/>
      <c r="K6" s="14729"/>
      <c r="L6" s="14730"/>
      <c r="M6" s="14731"/>
      <c r="N6" s="14732"/>
      <c r="O6" s="14733"/>
      <c r="P6" s="14734"/>
      <c r="Q6" s="14735"/>
      <c r="R6" s="14736"/>
      <c r="S6" s="14737"/>
      <c r="T6" s="14738"/>
    </row>
    <row r="7">
      <c r="A7" s="14739" t="s">
        <v>86</v>
      </c>
      <c r="B7" s="14740">
        <v>131</v>
      </c>
      <c r="C7" s="14741">
        <v>544</v>
      </c>
      <c r="D7" s="14742">
        <v>24.080882352941178</v>
      </c>
      <c r="E7" s="14743"/>
      <c r="F7" s="14744"/>
      <c r="G7" s="14745"/>
      <c r="H7" s="14746"/>
      <c r="I7" s="14747"/>
      <c r="J7" s="14748"/>
      <c r="K7" s="14749"/>
      <c r="L7" s="14750"/>
      <c r="M7" s="14751"/>
      <c r="N7" s="14752"/>
      <c r="O7" s="14753"/>
      <c r="P7" s="14754"/>
      <c r="Q7" s="14755"/>
      <c r="R7" s="14756"/>
      <c r="S7" s="14757"/>
      <c r="T7" s="14758"/>
    </row>
    <row r="8">
      <c r="A8" s="14759" t="s">
        <v>87</v>
      </c>
      <c r="B8" s="14760">
        <v>109</v>
      </c>
      <c r="C8" s="14761">
        <v>481</v>
      </c>
      <c r="D8" s="14762">
        <v>22.661122661122661</v>
      </c>
      <c r="E8" s="14763"/>
      <c r="F8" s="14764"/>
      <c r="G8" s="14765"/>
      <c r="H8" s="14766"/>
      <c r="I8" s="14767"/>
      <c r="J8" s="14768"/>
      <c r="K8" s="14769"/>
      <c r="L8" s="14770"/>
      <c r="M8" s="14771"/>
      <c r="N8" s="14772"/>
      <c r="O8" s="14773"/>
      <c r="P8" s="14774"/>
      <c r="Q8" s="14775"/>
      <c r="R8" s="14776"/>
      <c r="S8" s="14777"/>
      <c r="T8" s="14778"/>
    </row>
    <row r="9">
      <c r="A9" s="14779" t="s">
        <v>88</v>
      </c>
      <c r="B9" s="14780">
        <v>97</v>
      </c>
      <c r="C9" s="14781">
        <v>484</v>
      </c>
      <c r="D9" s="14782">
        <v>20.041322314049587</v>
      </c>
      <c r="E9" s="14783"/>
      <c r="F9" s="14784"/>
      <c r="G9" s="14785"/>
      <c r="H9" s="14786"/>
      <c r="I9" s="14787"/>
      <c r="J9" s="14788"/>
      <c r="K9" s="14789"/>
      <c r="L9" s="14790"/>
      <c r="M9" s="14791"/>
      <c r="N9" s="14792"/>
      <c r="O9" s="14793"/>
      <c r="P9" s="14794"/>
      <c r="Q9" s="14795"/>
      <c r="R9" s="14796"/>
      <c r="S9" s="14797"/>
      <c r="T9" s="14798"/>
    </row>
    <row r="10">
      <c r="A10" s="14799" t="s">
        <v>89</v>
      </c>
      <c r="B10" s="14800">
        <v>176</v>
      </c>
      <c r="C10" s="14801">
        <v>563</v>
      </c>
      <c r="D10" s="14802">
        <v>31.261101243339258</v>
      </c>
      <c r="E10" s="14803"/>
      <c r="F10" s="14804"/>
      <c r="G10" s="14805"/>
      <c r="H10" s="14806"/>
      <c r="I10" s="14807"/>
      <c r="J10" s="14808"/>
      <c r="K10" s="14809"/>
      <c r="L10" s="14810"/>
      <c r="M10" s="14811"/>
      <c r="N10" s="14812"/>
      <c r="O10" s="14813"/>
      <c r="P10" s="14814"/>
      <c r="Q10" s="14815"/>
      <c r="R10" s="14816"/>
      <c r="S10" s="14817"/>
      <c r="T10" s="14818"/>
    </row>
    <row r="11">
      <c r="A11" s="14819" t="s">
        <v>90</v>
      </c>
      <c r="B11" s="14820">
        <v>126</v>
      </c>
      <c r="C11" s="14821">
        <v>544</v>
      </c>
      <c r="D11" s="14822">
        <v>23.161764705882355</v>
      </c>
      <c r="E11" s="14823"/>
      <c r="F11" s="14824"/>
      <c r="G11" s="14825"/>
      <c r="H11" s="14826"/>
      <c r="I11" s="14827"/>
      <c r="J11" s="14828"/>
      <c r="K11" s="14829"/>
      <c r="L11" s="14830"/>
      <c r="M11" s="14831"/>
      <c r="N11" s="14832"/>
      <c r="O11" s="14833"/>
      <c r="P11" s="14834"/>
      <c r="Q11" s="14835"/>
      <c r="R11" s="14836"/>
      <c r="S11" s="14837"/>
      <c r="T11" s="14838"/>
    </row>
    <row r="12">
      <c r="A12" s="14839" t="s">
        <v>91</v>
      </c>
      <c r="B12" s="14840">
        <v>104</v>
      </c>
      <c r="C12" s="14841">
        <v>550</v>
      </c>
      <c r="D12" s="14842">
        <v>18.90909090909091</v>
      </c>
      <c r="E12" s="14843"/>
      <c r="F12" s="14844"/>
      <c r="G12" s="14845"/>
      <c r="H12" s="14846"/>
      <c r="I12" s="14847"/>
      <c r="J12" s="14848"/>
      <c r="K12" s="14849"/>
      <c r="L12" s="14850"/>
      <c r="M12" s="14851"/>
      <c r="N12" s="14852"/>
      <c r="O12" s="14853"/>
      <c r="P12" s="14854"/>
      <c r="Q12" s="14855"/>
      <c r="R12" s="14856"/>
      <c r="S12" s="14857"/>
      <c r="T12" s="14858"/>
    </row>
    <row r="13">
      <c r="A13" s="14859" t="s">
        <v>92</v>
      </c>
      <c r="B13" s="14860">
        <v>146</v>
      </c>
      <c r="C13" s="14861">
        <v>622</v>
      </c>
      <c r="D13" s="14862">
        <v>23.472668810289392</v>
      </c>
      <c r="E13" s="14863"/>
      <c r="F13" s="14864"/>
      <c r="G13" s="14865"/>
      <c r="H13" s="14866"/>
      <c r="I13" s="14867"/>
      <c r="J13" s="14868"/>
      <c r="K13" s="14869"/>
      <c r="L13" s="14870"/>
      <c r="M13" s="14871"/>
      <c r="N13" s="14872"/>
      <c r="O13" s="14873"/>
      <c r="P13" s="14874"/>
      <c r="Q13" s="14875"/>
      <c r="R13" s="14876"/>
      <c r="S13" s="14877"/>
      <c r="T13" s="14878"/>
    </row>
    <row r="14">
      <c r="A14" s="14879" t="s">
        <v>93</v>
      </c>
      <c r="B14" s="14880">
        <v>115</v>
      </c>
      <c r="C14" s="14881">
        <v>563</v>
      </c>
      <c r="D14" s="14882">
        <v>20.426287744227352</v>
      </c>
      <c r="E14" s="14883"/>
      <c r="F14" s="14884"/>
      <c r="G14" s="14885"/>
      <c r="H14" s="14886"/>
      <c r="I14" s="14887"/>
      <c r="J14" s="14888"/>
      <c r="K14" s="14889"/>
      <c r="L14" s="14890"/>
      <c r="M14" s="14891"/>
      <c r="N14" s="14892"/>
      <c r="O14" s="14893"/>
      <c r="P14" s="14894"/>
      <c r="Q14" s="14895"/>
      <c r="R14" s="14896"/>
      <c r="S14" s="14897"/>
      <c r="T14" s="14898"/>
    </row>
    <row r="15">
      <c r="A15" s="14899" t="s">
        <v>94</v>
      </c>
      <c r="B15" s="14900">
        <v>154</v>
      </c>
      <c r="C15" s="14901">
        <v>529</v>
      </c>
      <c r="D15" s="14902">
        <v>29.111531190926275</v>
      </c>
      <c r="E15" s="14903"/>
      <c r="F15" s="14904"/>
      <c r="G15" s="14905"/>
      <c r="H15" s="14906"/>
      <c r="I15" s="14907"/>
      <c r="J15" s="14908"/>
      <c r="K15" s="14909"/>
      <c r="L15" s="14910"/>
      <c r="M15" s="14911"/>
      <c r="N15" s="14912"/>
      <c r="O15" s="14913"/>
      <c r="P15" s="14914"/>
      <c r="Q15" s="14915"/>
      <c r="R15" s="14916"/>
      <c r="S15" s="14917"/>
      <c r="T15" s="14918"/>
    </row>
    <row r="16">
      <c r="A16" s="14919" t="s">
        <v>95</v>
      </c>
      <c r="B16" s="14920">
        <v>214</v>
      </c>
      <c r="C16" s="14921">
        <v>569</v>
      </c>
      <c r="D16" s="14922">
        <v>37.609841827768015</v>
      </c>
      <c r="E16" s="14923"/>
      <c r="F16" s="14924"/>
      <c r="G16" s="14925"/>
      <c r="H16" s="14926"/>
      <c r="I16" s="14927"/>
      <c r="J16" s="14928"/>
      <c r="K16" s="14929"/>
      <c r="L16" s="14930"/>
      <c r="M16" s="14931"/>
      <c r="N16" s="14932"/>
      <c r="O16" s="14933"/>
      <c r="P16" s="14934"/>
      <c r="Q16" s="14935"/>
      <c r="R16" s="14936"/>
      <c r="S16" s="14937"/>
      <c r="T16" s="14938"/>
    </row>
    <row r="17">
      <c r="A17" s="14939" t="s">
        <v>96</v>
      </c>
      <c r="B17" s="14940">
        <v>303</v>
      </c>
      <c r="C17" s="14941">
        <v>624</v>
      </c>
      <c r="D17" s="14942">
        <v>48.557692307692307</v>
      </c>
      <c r="E17" s="14943"/>
      <c r="F17" s="14944"/>
      <c r="G17" s="14945"/>
      <c r="H17" s="14946"/>
      <c r="I17" s="14947"/>
      <c r="J17" s="14948"/>
      <c r="K17" s="14949"/>
      <c r="L17" s="14950"/>
      <c r="M17" s="14951"/>
      <c r="N17" s="14952"/>
      <c r="O17" s="14953"/>
      <c r="P17" s="14954"/>
      <c r="Q17" s="14955"/>
      <c r="R17" s="14956"/>
      <c r="S17" s="14957"/>
      <c r="T17" s="14958"/>
    </row>
    <row r="18">
      <c r="A18" s="14959" t="s">
        <v>97</v>
      </c>
      <c r="B18" s="14960">
        <v>1947</v>
      </c>
      <c r="C18" s="14961">
        <v>7284</v>
      </c>
      <c r="D18" s="14962">
        <v>26.729818780889619</v>
      </c>
      <c r="E18" s="14963"/>
      <c r="F18" s="14964"/>
      <c r="G18" s="14965"/>
      <c r="H18" s="14966"/>
      <c r="I18" s="14967"/>
      <c r="J18" s="14968"/>
      <c r="K18" s="14969"/>
      <c r="L18" s="14970"/>
      <c r="M18" s="14971"/>
      <c r="N18" s="14972"/>
      <c r="O18" s="14973"/>
      <c r="P18" s="14974"/>
      <c r="Q18" s="14975"/>
      <c r="R18" s="14976"/>
      <c r="S18" s="14977"/>
      <c r="T18" s="14978"/>
    </row>
    <row r="19">
      <c r="A19" s="14979" t="s">
        <v>98</v>
      </c>
      <c r="B19" s="14980"/>
      <c r="C19" s="14981"/>
      <c r="D19" s="14982"/>
      <c r="E19" s="14983"/>
      <c r="F19" s="14984"/>
      <c r="G19" s="14985"/>
      <c r="H19" s="14986"/>
      <c r="I19" s="14987"/>
      <c r="J19" s="14988"/>
      <c r="K19" s="14989"/>
      <c r="L19" s="14990"/>
      <c r="M19" s="14991"/>
      <c r="N19" s="14992"/>
      <c r="O19" s="14993"/>
      <c r="P19" s="14994"/>
      <c r="Q19" s="14995"/>
      <c r="R19" s="14996"/>
      <c r="S19" s="14997"/>
      <c r="T19" s="14998"/>
    </row>
    <row r="20">
      <c r="A20" s="14999" t="s">
        <v>124</v>
      </c>
      <c r="B20" s="15000"/>
      <c r="C20" s="15001"/>
      <c r="D20" s="15002"/>
      <c r="E20" s="15003"/>
      <c r="F20" s="15004"/>
      <c r="G20" s="15005"/>
      <c r="H20" s="15006"/>
      <c r="I20" s="15007"/>
      <c r="J20" s="15008"/>
      <c r="K20" s="15009"/>
      <c r="L20" s="15010"/>
      <c r="M20" s="15011"/>
      <c r="N20" s="15012"/>
      <c r="O20" s="15013"/>
      <c r="P20" s="15014"/>
      <c r="Q20" s="15015"/>
      <c r="R20" s="15016"/>
      <c r="S20" s="15017"/>
      <c r="T20" s="15018"/>
    </row>
    <row r="21">
      <c r="A21" t="s">
        <v>127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1"/>
  <sheetViews>
    <sheetView workbookViewId="0"/>
  </sheetViews>
  <sheetFormatPr defaultRowHeight="15"/>
  <cols>
    <col min="1" max="6" width="15.453125" style="15019" customWidth="true"/>
  </cols>
  <sheetData>
    <row r="1">
      <c r="A1" s="15020" t="s">
        <v>130</v>
      </c>
      <c r="B1" s="15021"/>
      <c r="C1" s="15022"/>
      <c r="D1" s="15023"/>
      <c r="E1" s="15024"/>
      <c r="F1" s="15025"/>
      <c r="G1" s="15026"/>
      <c r="H1" s="15027"/>
      <c r="I1" s="15028"/>
      <c r="J1" s="15029"/>
      <c r="K1" s="15030"/>
      <c r="L1" s="15031"/>
      <c r="M1" s="15032"/>
      <c r="N1" s="15033"/>
      <c r="O1" s="15034"/>
      <c r="P1" s="15035"/>
      <c r="Q1" s="15036"/>
      <c r="R1" s="15037"/>
      <c r="S1" s="15038"/>
      <c r="T1" s="15039"/>
    </row>
    <row r="2">
      <c r="A2" s="15040"/>
      <c r="B2" s="15041" t="s">
        <v>79</v>
      </c>
      <c r="C2" s="15042" t="s">
        <v>80</v>
      </c>
      <c r="D2" s="15043" t="s">
        <v>81</v>
      </c>
      <c r="E2" s="15044"/>
      <c r="F2" s="15045"/>
      <c r="G2" s="15046"/>
      <c r="H2" s="15047"/>
      <c r="I2" s="15048"/>
      <c r="J2" s="15049"/>
      <c r="K2" s="15050"/>
      <c r="L2" s="15051"/>
      <c r="M2" s="15052"/>
      <c r="N2" s="15053"/>
      <c r="O2" s="15054"/>
      <c r="P2" s="15055"/>
      <c r="Q2" s="15056"/>
      <c r="R2" s="15057"/>
      <c r="S2" s="15058"/>
      <c r="T2" s="15059"/>
    </row>
    <row r="3">
      <c r="A3" s="15060" t="s">
        <v>82</v>
      </c>
      <c r="B3" s="15061"/>
      <c r="C3" s="15062"/>
      <c r="D3" s="15063"/>
      <c r="E3" s="15064"/>
      <c r="F3" s="15065"/>
      <c r="G3" s="15066"/>
      <c r="H3" s="15067"/>
      <c r="I3" s="15068"/>
      <c r="J3" s="15069"/>
      <c r="K3" s="15070"/>
      <c r="L3" s="15071"/>
      <c r="M3" s="15072"/>
      <c r="N3" s="15073"/>
      <c r="O3" s="15074"/>
      <c r="P3" s="15075"/>
      <c r="Q3" s="15076"/>
      <c r="R3" s="15077"/>
      <c r="S3" s="15078"/>
      <c r="T3" s="15079"/>
    </row>
    <row r="4">
      <c r="A4" s="15080" t="s">
        <v>83</v>
      </c>
      <c r="B4" s="15081">
        <v>76</v>
      </c>
      <c r="C4" s="15082">
        <v>429</v>
      </c>
      <c r="D4" s="15083">
        <v>17.715617715617714</v>
      </c>
      <c r="E4" s="15084"/>
      <c r="F4" s="15085"/>
      <c r="G4" s="15086"/>
      <c r="H4" s="15087"/>
      <c r="I4" s="15088"/>
      <c r="J4" s="15089"/>
      <c r="K4" s="15090"/>
      <c r="L4" s="15091"/>
      <c r="M4" s="15092"/>
      <c r="N4" s="15093"/>
      <c r="O4" s="15094"/>
      <c r="P4" s="15095"/>
      <c r="Q4" s="15096"/>
      <c r="R4" s="15097"/>
      <c r="S4" s="15098"/>
      <c r="T4" s="15099"/>
    </row>
    <row r="5">
      <c r="A5" s="15100" t="s">
        <v>84</v>
      </c>
      <c r="B5" s="15101">
        <v>104</v>
      </c>
      <c r="C5" s="15102">
        <v>385</v>
      </c>
      <c r="D5" s="15103">
        <v>27.012987012987011</v>
      </c>
      <c r="E5" s="15104"/>
      <c r="F5" s="15105"/>
      <c r="G5" s="15106"/>
      <c r="H5" s="15107"/>
      <c r="I5" s="15108"/>
      <c r="J5" s="15109"/>
      <c r="K5" s="15110"/>
      <c r="L5" s="15111"/>
      <c r="M5" s="15112"/>
      <c r="N5" s="15113"/>
      <c r="O5" s="15114"/>
      <c r="P5" s="15115"/>
      <c r="Q5" s="15116"/>
      <c r="R5" s="15117"/>
      <c r="S5" s="15118"/>
      <c r="T5" s="15119"/>
    </row>
    <row r="6">
      <c r="A6" s="15120" t="s">
        <v>85</v>
      </c>
      <c r="B6" s="15121">
        <v>98</v>
      </c>
      <c r="C6" s="15122">
        <v>397</v>
      </c>
      <c r="D6" s="15123">
        <v>24.685138539042821</v>
      </c>
      <c r="E6" s="15124"/>
      <c r="F6" s="15125"/>
      <c r="G6" s="15126"/>
      <c r="H6" s="15127"/>
      <c r="I6" s="15128"/>
      <c r="J6" s="15129"/>
      <c r="K6" s="15130"/>
      <c r="L6" s="15131"/>
      <c r="M6" s="15132"/>
      <c r="N6" s="15133"/>
      <c r="O6" s="15134"/>
      <c r="P6" s="15135"/>
      <c r="Q6" s="15136"/>
      <c r="R6" s="15137"/>
      <c r="S6" s="15138"/>
      <c r="T6" s="15139"/>
    </row>
    <row r="7">
      <c r="A7" s="15140" t="s">
        <v>86</v>
      </c>
      <c r="B7" s="15141">
        <v>131</v>
      </c>
      <c r="C7" s="15142">
        <v>544</v>
      </c>
      <c r="D7" s="15143">
        <v>24.080882352941178</v>
      </c>
      <c r="E7" s="15144"/>
      <c r="F7" s="15145"/>
      <c r="G7" s="15146"/>
      <c r="H7" s="15147"/>
      <c r="I7" s="15148"/>
      <c r="J7" s="15149"/>
      <c r="K7" s="15150"/>
      <c r="L7" s="15151"/>
      <c r="M7" s="15152"/>
      <c r="N7" s="15153"/>
      <c r="O7" s="15154"/>
      <c r="P7" s="15155"/>
      <c r="Q7" s="15156"/>
      <c r="R7" s="15157"/>
      <c r="S7" s="15158"/>
      <c r="T7" s="15159"/>
    </row>
    <row r="8">
      <c r="A8" s="15160" t="s">
        <v>87</v>
      </c>
      <c r="B8" s="15161">
        <v>109</v>
      </c>
      <c r="C8" s="15162">
        <v>481</v>
      </c>
      <c r="D8" s="15163">
        <v>22.661122661122661</v>
      </c>
      <c r="E8" s="15164"/>
      <c r="F8" s="15165"/>
      <c r="G8" s="15166"/>
      <c r="H8" s="15167"/>
      <c r="I8" s="15168"/>
      <c r="J8" s="15169"/>
      <c r="K8" s="15170"/>
      <c r="L8" s="15171"/>
      <c r="M8" s="15172"/>
      <c r="N8" s="15173"/>
      <c r="O8" s="15174"/>
      <c r="P8" s="15175"/>
      <c r="Q8" s="15176"/>
      <c r="R8" s="15177"/>
      <c r="S8" s="15178"/>
      <c r="T8" s="15179"/>
    </row>
    <row r="9">
      <c r="A9" s="15180" t="s">
        <v>88</v>
      </c>
      <c r="B9" s="15181">
        <v>97</v>
      </c>
      <c r="C9" s="15182">
        <v>484</v>
      </c>
      <c r="D9" s="15183">
        <v>20.041322314049587</v>
      </c>
      <c r="E9" s="15184"/>
      <c r="F9" s="15185"/>
      <c r="G9" s="15186"/>
      <c r="H9" s="15187"/>
      <c r="I9" s="15188"/>
      <c r="J9" s="15189"/>
      <c r="K9" s="15190"/>
      <c r="L9" s="15191"/>
      <c r="M9" s="15192"/>
      <c r="N9" s="15193"/>
      <c r="O9" s="15194"/>
      <c r="P9" s="15195"/>
      <c r="Q9" s="15196"/>
      <c r="R9" s="15197"/>
      <c r="S9" s="15198"/>
      <c r="T9" s="15199"/>
    </row>
    <row r="10">
      <c r="A10" s="15200" t="s">
        <v>89</v>
      </c>
      <c r="B10" s="15201">
        <v>176</v>
      </c>
      <c r="C10" s="15202">
        <v>563</v>
      </c>
      <c r="D10" s="15203">
        <v>31.261101243339258</v>
      </c>
      <c r="E10" s="15204"/>
      <c r="F10" s="15205"/>
      <c r="G10" s="15206"/>
      <c r="H10" s="15207"/>
      <c r="I10" s="15208"/>
      <c r="J10" s="15209"/>
      <c r="K10" s="15210"/>
      <c r="L10" s="15211"/>
      <c r="M10" s="15212"/>
      <c r="N10" s="15213"/>
      <c r="O10" s="15214"/>
      <c r="P10" s="15215"/>
      <c r="Q10" s="15216"/>
      <c r="R10" s="15217"/>
      <c r="S10" s="15218"/>
      <c r="T10" s="15219"/>
    </row>
    <row r="11">
      <c r="A11" s="15220" t="s">
        <v>90</v>
      </c>
      <c r="B11" s="15221">
        <v>126</v>
      </c>
      <c r="C11" s="15222">
        <v>544</v>
      </c>
      <c r="D11" s="15223">
        <v>23.161764705882355</v>
      </c>
      <c r="E11" s="15224"/>
      <c r="F11" s="15225"/>
      <c r="G11" s="15226"/>
      <c r="H11" s="15227"/>
      <c r="I11" s="15228"/>
      <c r="J11" s="15229"/>
      <c r="K11" s="15230"/>
      <c r="L11" s="15231"/>
      <c r="M11" s="15232"/>
      <c r="N11" s="15233"/>
      <c r="O11" s="15234"/>
      <c r="P11" s="15235"/>
      <c r="Q11" s="15236"/>
      <c r="R11" s="15237"/>
      <c r="S11" s="15238"/>
      <c r="T11" s="15239"/>
    </row>
    <row r="12">
      <c r="A12" s="15240" t="s">
        <v>91</v>
      </c>
      <c r="B12" s="15241">
        <v>104</v>
      </c>
      <c r="C12" s="15242">
        <v>550</v>
      </c>
      <c r="D12" s="15243">
        <v>18.90909090909091</v>
      </c>
      <c r="E12" s="15244"/>
      <c r="F12" s="15245"/>
      <c r="G12" s="15246"/>
      <c r="H12" s="15247"/>
      <c r="I12" s="15248"/>
      <c r="J12" s="15249"/>
      <c r="K12" s="15250"/>
      <c r="L12" s="15251"/>
      <c r="M12" s="15252"/>
      <c r="N12" s="15253"/>
      <c r="O12" s="15254"/>
      <c r="P12" s="15255"/>
      <c r="Q12" s="15256"/>
      <c r="R12" s="15257"/>
      <c r="S12" s="15258"/>
      <c r="T12" s="15259"/>
    </row>
    <row r="13">
      <c r="A13" s="15260" t="s">
        <v>92</v>
      </c>
      <c r="B13" s="15261">
        <v>146</v>
      </c>
      <c r="C13" s="15262">
        <v>622</v>
      </c>
      <c r="D13" s="15263">
        <v>23.472668810289392</v>
      </c>
      <c r="E13" s="15264"/>
      <c r="F13" s="15265"/>
      <c r="G13" s="15266"/>
      <c r="H13" s="15267"/>
      <c r="I13" s="15268"/>
      <c r="J13" s="15269"/>
      <c r="K13" s="15270"/>
      <c r="L13" s="15271"/>
      <c r="M13" s="15272"/>
      <c r="N13" s="15273"/>
      <c r="O13" s="15274"/>
      <c r="P13" s="15275"/>
      <c r="Q13" s="15276"/>
      <c r="R13" s="15277"/>
      <c r="S13" s="15278"/>
      <c r="T13" s="15279"/>
    </row>
    <row r="14">
      <c r="A14" s="15280" t="s">
        <v>93</v>
      </c>
      <c r="B14" s="15281">
        <v>115</v>
      </c>
      <c r="C14" s="15282">
        <v>563</v>
      </c>
      <c r="D14" s="15283">
        <v>20.426287744227352</v>
      </c>
      <c r="E14" s="15284"/>
      <c r="F14" s="15285"/>
      <c r="G14" s="15286"/>
      <c r="H14" s="15287"/>
      <c r="I14" s="15288"/>
      <c r="J14" s="15289"/>
      <c r="K14" s="15290"/>
      <c r="L14" s="15291"/>
      <c r="M14" s="15292"/>
      <c r="N14" s="15293"/>
      <c r="O14" s="15294"/>
      <c r="P14" s="15295"/>
      <c r="Q14" s="15296"/>
      <c r="R14" s="15297"/>
      <c r="S14" s="15298"/>
      <c r="T14" s="15299"/>
    </row>
    <row r="15">
      <c r="A15" s="15300" t="s">
        <v>94</v>
      </c>
      <c r="B15" s="15301">
        <v>155</v>
      </c>
      <c r="C15" s="15302">
        <v>529</v>
      </c>
      <c r="D15" s="15303">
        <v>29.300567107750474</v>
      </c>
      <c r="E15" s="15304"/>
      <c r="F15" s="15305"/>
      <c r="G15" s="15306"/>
      <c r="H15" s="15307"/>
      <c r="I15" s="15308"/>
      <c r="J15" s="15309"/>
      <c r="K15" s="15310"/>
      <c r="L15" s="15311"/>
      <c r="M15" s="15312"/>
      <c r="N15" s="15313"/>
      <c r="O15" s="15314"/>
      <c r="P15" s="15315"/>
      <c r="Q15" s="15316"/>
      <c r="R15" s="15317"/>
      <c r="S15" s="15318"/>
      <c r="T15" s="15319"/>
    </row>
    <row r="16">
      <c r="A16" s="15320" t="s">
        <v>95</v>
      </c>
      <c r="B16" s="15321">
        <v>215</v>
      </c>
      <c r="C16" s="15322">
        <v>569</v>
      </c>
      <c r="D16" s="15323">
        <v>37.785588752196837</v>
      </c>
      <c r="E16" s="15324"/>
      <c r="F16" s="15325"/>
      <c r="G16" s="15326"/>
      <c r="H16" s="15327"/>
      <c r="I16" s="15328"/>
      <c r="J16" s="15329"/>
      <c r="K16" s="15330"/>
      <c r="L16" s="15331"/>
      <c r="M16" s="15332"/>
      <c r="N16" s="15333"/>
      <c r="O16" s="15334"/>
      <c r="P16" s="15335"/>
      <c r="Q16" s="15336"/>
      <c r="R16" s="15337"/>
      <c r="S16" s="15338"/>
      <c r="T16" s="15339"/>
    </row>
    <row r="17">
      <c r="A17" s="15340" t="s">
        <v>96</v>
      </c>
      <c r="B17" s="15341">
        <v>305</v>
      </c>
      <c r="C17" s="15342">
        <v>624</v>
      </c>
      <c r="D17" s="15343">
        <v>48.878205128205124</v>
      </c>
      <c r="E17" s="15344"/>
      <c r="F17" s="15345"/>
      <c r="G17" s="15346"/>
      <c r="H17" s="15347"/>
      <c r="I17" s="15348"/>
      <c r="J17" s="15349"/>
      <c r="K17" s="15350"/>
      <c r="L17" s="15351"/>
      <c r="M17" s="15352"/>
      <c r="N17" s="15353"/>
      <c r="O17" s="15354"/>
      <c r="P17" s="15355"/>
      <c r="Q17" s="15356"/>
      <c r="R17" s="15357"/>
      <c r="S17" s="15358"/>
      <c r="T17" s="15359"/>
    </row>
    <row r="18">
      <c r="A18" s="15360" t="s">
        <v>97</v>
      </c>
      <c r="B18" s="15361">
        <v>1957</v>
      </c>
      <c r="C18" s="15362">
        <v>7284</v>
      </c>
      <c r="D18" s="15363">
        <v>26.867105985722127</v>
      </c>
      <c r="E18" s="15364"/>
      <c r="F18" s="15365"/>
      <c r="G18" s="15366"/>
      <c r="H18" s="15367"/>
      <c r="I18" s="15368"/>
      <c r="J18" s="15369"/>
      <c r="K18" s="15370"/>
      <c r="L18" s="15371"/>
      <c r="M18" s="15372"/>
      <c r="N18" s="15373"/>
      <c r="O18" s="15374"/>
      <c r="P18" s="15375"/>
      <c r="Q18" s="15376"/>
      <c r="R18" s="15377"/>
      <c r="S18" s="15378"/>
      <c r="T18" s="15379"/>
    </row>
    <row r="19">
      <c r="A19" s="15380" t="s">
        <v>98</v>
      </c>
      <c r="B19" s="15381"/>
      <c r="C19" s="15382"/>
      <c r="D19" s="15383"/>
      <c r="E19" s="15384"/>
      <c r="F19" s="15385"/>
      <c r="G19" s="15386"/>
      <c r="H19" s="15387"/>
      <c r="I19" s="15388"/>
      <c r="J19" s="15389"/>
      <c r="K19" s="15390"/>
      <c r="L19" s="15391"/>
      <c r="M19" s="15392"/>
      <c r="N19" s="15393"/>
      <c r="O19" s="15394"/>
      <c r="P19" s="15395"/>
      <c r="Q19" s="15396"/>
      <c r="R19" s="15397"/>
      <c r="S19" s="15398"/>
      <c r="T19" s="15399"/>
    </row>
    <row r="20">
      <c r="A20" s="15400" t="s">
        <v>124</v>
      </c>
      <c r="B20" s="15401"/>
      <c r="C20" s="15402"/>
      <c r="D20" s="15403"/>
      <c r="E20" s="15404"/>
      <c r="F20" s="15405"/>
      <c r="G20" s="15406"/>
      <c r="H20" s="15407"/>
      <c r="I20" s="15408"/>
      <c r="J20" s="15409"/>
      <c r="K20" s="15410"/>
      <c r="L20" s="15411"/>
      <c r="M20" s="15412"/>
      <c r="N20" s="15413"/>
      <c r="O20" s="15414"/>
      <c r="P20" s="15415"/>
      <c r="Q20" s="15416"/>
      <c r="R20" s="15417"/>
      <c r="S20" s="15418"/>
      <c r="T20" s="15419"/>
    </row>
    <row r="21">
      <c r="A21" t="s">
        <v>127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1"/>
  <sheetViews>
    <sheetView workbookViewId="0"/>
  </sheetViews>
  <sheetFormatPr defaultRowHeight="15"/>
  <cols>
    <col min="1" max="6" width="15.453125" style="15420" customWidth="true"/>
  </cols>
  <sheetData>
    <row r="1">
      <c r="A1" s="15421" t="s">
        <v>131</v>
      </c>
      <c r="B1" s="15422"/>
      <c r="C1" s="15423"/>
      <c r="D1" s="15424"/>
      <c r="E1" s="15425"/>
      <c r="F1" s="15426"/>
      <c r="G1" s="15427"/>
      <c r="H1" s="15428"/>
      <c r="I1" s="15429"/>
      <c r="J1" s="15430"/>
      <c r="K1" s="15431"/>
      <c r="L1" s="15432"/>
      <c r="M1" s="15433"/>
      <c r="N1" s="15434"/>
      <c r="O1" s="15435"/>
      <c r="P1" s="15436"/>
      <c r="Q1" s="15437"/>
      <c r="R1" s="15438"/>
      <c r="S1" s="15439"/>
      <c r="T1" s="15440"/>
    </row>
    <row r="2">
      <c r="A2" s="15441"/>
      <c r="B2" s="15442" t="s">
        <v>79</v>
      </c>
      <c r="C2" s="15443" t="s">
        <v>80</v>
      </c>
      <c r="D2" s="15444" t="s">
        <v>81</v>
      </c>
      <c r="E2" s="15445"/>
      <c r="F2" s="15446"/>
      <c r="G2" s="15447"/>
      <c r="H2" s="15448"/>
      <c r="I2" s="15449"/>
      <c r="J2" s="15450"/>
      <c r="K2" s="15451"/>
      <c r="L2" s="15452"/>
      <c r="M2" s="15453"/>
      <c r="N2" s="15454"/>
      <c r="O2" s="15455"/>
      <c r="P2" s="15456"/>
      <c r="Q2" s="15457"/>
      <c r="R2" s="15458"/>
      <c r="S2" s="15459"/>
      <c r="T2" s="15460"/>
    </row>
    <row r="3">
      <c r="A3" s="15461" t="s">
        <v>82</v>
      </c>
      <c r="B3" s="15462"/>
      <c r="C3" s="15463"/>
      <c r="D3" s="15464"/>
      <c r="E3" s="15465"/>
      <c r="F3" s="15466"/>
      <c r="G3" s="15467"/>
      <c r="H3" s="15468"/>
      <c r="I3" s="15469"/>
      <c r="J3" s="15470"/>
      <c r="K3" s="15471"/>
      <c r="L3" s="15472"/>
      <c r="M3" s="15473"/>
      <c r="N3" s="15474"/>
      <c r="O3" s="15475"/>
      <c r="P3" s="15476"/>
      <c r="Q3" s="15477"/>
      <c r="R3" s="15478"/>
      <c r="S3" s="15479"/>
      <c r="T3" s="15480"/>
    </row>
    <row r="4">
      <c r="A4" s="15481" t="s">
        <v>83</v>
      </c>
      <c r="B4" s="15482">
        <v>429</v>
      </c>
      <c r="C4" s="15483">
        <v>429</v>
      </c>
      <c r="D4" s="15484">
        <v>100</v>
      </c>
      <c r="E4" s="15485"/>
      <c r="F4" s="15486"/>
      <c r="G4" s="15487"/>
      <c r="H4" s="15488"/>
      <c r="I4" s="15489"/>
      <c r="J4" s="15490"/>
      <c r="K4" s="15491"/>
      <c r="L4" s="15492"/>
      <c r="M4" s="15493"/>
      <c r="N4" s="15494"/>
      <c r="O4" s="15495"/>
      <c r="P4" s="15496"/>
      <c r="Q4" s="15497"/>
      <c r="R4" s="15498"/>
      <c r="S4" s="15499"/>
      <c r="T4" s="15500"/>
    </row>
    <row r="5">
      <c r="A5" s="15501" t="s">
        <v>84</v>
      </c>
      <c r="B5" s="15502">
        <v>385</v>
      </c>
      <c r="C5" s="15503">
        <v>385</v>
      </c>
      <c r="D5" s="15504">
        <v>100</v>
      </c>
      <c r="E5" s="15505"/>
      <c r="F5" s="15506"/>
      <c r="G5" s="15507"/>
      <c r="H5" s="15508"/>
      <c r="I5" s="15509"/>
      <c r="J5" s="15510"/>
      <c r="K5" s="15511"/>
      <c r="L5" s="15512"/>
      <c r="M5" s="15513"/>
      <c r="N5" s="15514"/>
      <c r="O5" s="15515"/>
      <c r="P5" s="15516"/>
      <c r="Q5" s="15517"/>
      <c r="R5" s="15518"/>
      <c r="S5" s="15519"/>
      <c r="T5" s="15520"/>
    </row>
    <row r="6">
      <c r="A6" s="15521" t="s">
        <v>85</v>
      </c>
      <c r="B6" s="15522">
        <v>397</v>
      </c>
      <c r="C6" s="15523">
        <v>397</v>
      </c>
      <c r="D6" s="15524">
        <v>100</v>
      </c>
      <c r="E6" s="15525"/>
      <c r="F6" s="15526"/>
      <c r="G6" s="15527"/>
      <c r="H6" s="15528"/>
      <c r="I6" s="15529"/>
      <c r="J6" s="15530"/>
      <c r="K6" s="15531"/>
      <c r="L6" s="15532"/>
      <c r="M6" s="15533"/>
      <c r="N6" s="15534"/>
      <c r="O6" s="15535"/>
      <c r="P6" s="15536"/>
      <c r="Q6" s="15537"/>
      <c r="R6" s="15538"/>
      <c r="S6" s="15539"/>
      <c r="T6" s="15540"/>
    </row>
    <row r="7">
      <c r="A7" s="15541" t="s">
        <v>86</v>
      </c>
      <c r="B7" s="15542">
        <v>544</v>
      </c>
      <c r="C7" s="15543">
        <v>544</v>
      </c>
      <c r="D7" s="15544">
        <v>100</v>
      </c>
      <c r="E7" s="15545"/>
      <c r="F7" s="15546"/>
      <c r="G7" s="15547"/>
      <c r="H7" s="15548"/>
      <c r="I7" s="15549"/>
      <c r="J7" s="15550"/>
      <c r="K7" s="15551"/>
      <c r="L7" s="15552"/>
      <c r="M7" s="15553"/>
      <c r="N7" s="15554"/>
      <c r="O7" s="15555"/>
      <c r="P7" s="15556"/>
      <c r="Q7" s="15557"/>
      <c r="R7" s="15558"/>
      <c r="S7" s="15559"/>
      <c r="T7" s="15560"/>
    </row>
    <row r="8">
      <c r="A8" s="15561" t="s">
        <v>87</v>
      </c>
      <c r="B8" s="15562">
        <v>481</v>
      </c>
      <c r="C8" s="15563">
        <v>481</v>
      </c>
      <c r="D8" s="15564">
        <v>100</v>
      </c>
      <c r="E8" s="15565"/>
      <c r="F8" s="15566"/>
      <c r="G8" s="15567"/>
      <c r="H8" s="15568"/>
      <c r="I8" s="15569"/>
      <c r="J8" s="15570"/>
      <c r="K8" s="15571"/>
      <c r="L8" s="15572"/>
      <c r="M8" s="15573"/>
      <c r="N8" s="15574"/>
      <c r="O8" s="15575"/>
      <c r="P8" s="15576"/>
      <c r="Q8" s="15577"/>
      <c r="R8" s="15578"/>
      <c r="S8" s="15579"/>
      <c r="T8" s="15580"/>
    </row>
    <row r="9">
      <c r="A9" s="15581" t="s">
        <v>88</v>
      </c>
      <c r="B9" s="15582">
        <v>484</v>
      </c>
      <c r="C9" s="15583">
        <v>484</v>
      </c>
      <c r="D9" s="15584">
        <v>100</v>
      </c>
      <c r="E9" s="15585"/>
      <c r="F9" s="15586"/>
      <c r="G9" s="15587"/>
      <c r="H9" s="15588"/>
      <c r="I9" s="15589"/>
      <c r="J9" s="15590"/>
      <c r="K9" s="15591"/>
      <c r="L9" s="15592"/>
      <c r="M9" s="15593"/>
      <c r="N9" s="15594"/>
      <c r="O9" s="15595"/>
      <c r="P9" s="15596"/>
      <c r="Q9" s="15597"/>
      <c r="R9" s="15598"/>
      <c r="S9" s="15599"/>
      <c r="T9" s="15600"/>
    </row>
    <row r="10">
      <c r="A10" s="15601" t="s">
        <v>89</v>
      </c>
      <c r="B10" s="15602">
        <v>87</v>
      </c>
      <c r="C10" s="15603">
        <v>563</v>
      </c>
      <c r="D10" s="15604">
        <v>15.452930728241562</v>
      </c>
      <c r="E10" s="15605"/>
      <c r="F10" s="15606"/>
      <c r="G10" s="15607"/>
      <c r="H10" s="15608"/>
      <c r="I10" s="15609"/>
      <c r="J10" s="15610"/>
      <c r="K10" s="15611"/>
      <c r="L10" s="15612"/>
      <c r="M10" s="15613"/>
      <c r="N10" s="15614"/>
      <c r="O10" s="15615"/>
      <c r="P10" s="15616"/>
      <c r="Q10" s="15617"/>
      <c r="R10" s="15618"/>
      <c r="S10" s="15619"/>
      <c r="T10" s="15620"/>
    </row>
    <row r="11">
      <c r="A11" s="15621" t="s">
        <v>90</v>
      </c>
      <c r="B11" s="15622">
        <v>18</v>
      </c>
      <c r="C11" s="15623">
        <v>544</v>
      </c>
      <c r="D11" s="15624">
        <v>3.308823529411765</v>
      </c>
      <c r="E11" s="15625"/>
      <c r="F11" s="15626"/>
      <c r="G11" s="15627"/>
      <c r="H11" s="15628"/>
      <c r="I11" s="15629"/>
      <c r="J11" s="15630"/>
      <c r="K11" s="15631"/>
      <c r="L11" s="15632"/>
      <c r="M11" s="15633"/>
      <c r="N11" s="15634"/>
      <c r="O11" s="15635"/>
      <c r="P11" s="15636"/>
      <c r="Q11" s="15637"/>
      <c r="R11" s="15638"/>
      <c r="S11" s="15639"/>
      <c r="T11" s="15640"/>
    </row>
    <row r="12">
      <c r="A12" s="15641" t="s">
        <v>91</v>
      </c>
      <c r="B12" s="15642">
        <v>12</v>
      </c>
      <c r="C12" s="15643">
        <v>550</v>
      </c>
      <c r="D12" s="15644">
        <v>2.1818181818181821</v>
      </c>
      <c r="E12" s="15645"/>
      <c r="F12" s="15646"/>
      <c r="G12" s="15647"/>
      <c r="H12" s="15648"/>
      <c r="I12" s="15649"/>
      <c r="J12" s="15650"/>
      <c r="K12" s="15651"/>
      <c r="L12" s="15652"/>
      <c r="M12" s="15653"/>
      <c r="N12" s="15654"/>
      <c r="O12" s="15655"/>
      <c r="P12" s="15656"/>
      <c r="Q12" s="15657"/>
      <c r="R12" s="15658"/>
      <c r="S12" s="15659"/>
      <c r="T12" s="15660"/>
    </row>
    <row r="13">
      <c r="A13" s="15661" t="s">
        <v>92</v>
      </c>
      <c r="B13" s="15662">
        <v>31</v>
      </c>
      <c r="C13" s="15663">
        <v>622</v>
      </c>
      <c r="D13" s="15664">
        <v>4.983922829581994</v>
      </c>
      <c r="E13" s="15665"/>
      <c r="F13" s="15666"/>
      <c r="G13" s="15667"/>
      <c r="H13" s="15668"/>
      <c r="I13" s="15669"/>
      <c r="J13" s="15670"/>
      <c r="K13" s="15671"/>
      <c r="L13" s="15672"/>
      <c r="M13" s="15673"/>
      <c r="N13" s="15674"/>
      <c r="O13" s="15675"/>
      <c r="P13" s="15676"/>
      <c r="Q13" s="15677"/>
      <c r="R13" s="15678"/>
      <c r="S13" s="15679"/>
      <c r="T13" s="15680"/>
    </row>
    <row r="14">
      <c r="A14" s="15681" t="s">
        <v>93</v>
      </c>
      <c r="B14" s="15682">
        <v>2</v>
      </c>
      <c r="C14" s="15683">
        <v>563</v>
      </c>
      <c r="D14" s="15684">
        <v>0.35523978685612789</v>
      </c>
      <c r="E14" s="15685"/>
      <c r="F14" s="15686"/>
      <c r="G14" s="15687"/>
      <c r="H14" s="15688"/>
      <c r="I14" s="15689"/>
      <c r="J14" s="15690"/>
      <c r="K14" s="15691"/>
      <c r="L14" s="15692"/>
      <c r="M14" s="15693"/>
      <c r="N14" s="15694"/>
      <c r="O14" s="15695"/>
      <c r="P14" s="15696"/>
      <c r="Q14" s="15697"/>
      <c r="R14" s="15698"/>
      <c r="S14" s="15699"/>
      <c r="T14" s="15700"/>
    </row>
    <row r="15">
      <c r="A15" s="15701" t="s">
        <v>94</v>
      </c>
      <c r="B15" s="15702">
        <v>30</v>
      </c>
      <c r="C15" s="15703">
        <v>529</v>
      </c>
      <c r="D15" s="15704">
        <v>5.6710775047258979</v>
      </c>
      <c r="E15" s="15705"/>
      <c r="F15" s="15706"/>
      <c r="G15" s="15707"/>
      <c r="H15" s="15708"/>
      <c r="I15" s="15709"/>
      <c r="J15" s="15710"/>
      <c r="K15" s="15711"/>
      <c r="L15" s="15712"/>
      <c r="M15" s="15713"/>
      <c r="N15" s="15714"/>
      <c r="O15" s="15715"/>
      <c r="P15" s="15716"/>
      <c r="Q15" s="15717"/>
      <c r="R15" s="15718"/>
      <c r="S15" s="15719"/>
      <c r="T15" s="15720"/>
    </row>
    <row r="16">
      <c r="A16" s="15721" t="s">
        <v>95</v>
      </c>
      <c r="B16" s="15722">
        <v>71</v>
      </c>
      <c r="C16" s="15723">
        <v>569</v>
      </c>
      <c r="D16" s="15724">
        <v>12.478031634446397</v>
      </c>
      <c r="E16" s="15725"/>
      <c r="F16" s="15726"/>
      <c r="G16" s="15727"/>
      <c r="H16" s="15728"/>
      <c r="I16" s="15729"/>
      <c r="J16" s="15730"/>
      <c r="K16" s="15731"/>
      <c r="L16" s="15732"/>
      <c r="M16" s="15733"/>
      <c r="N16" s="15734"/>
      <c r="O16" s="15735"/>
      <c r="P16" s="15736"/>
      <c r="Q16" s="15737"/>
      <c r="R16" s="15738"/>
      <c r="S16" s="15739"/>
      <c r="T16" s="15740"/>
    </row>
    <row r="17">
      <c r="A17" s="15741" t="s">
        <v>96</v>
      </c>
      <c r="B17" s="15742">
        <v>172</v>
      </c>
      <c r="C17" s="15743">
        <v>624</v>
      </c>
      <c r="D17" s="15744">
        <v>27.564102564102566</v>
      </c>
      <c r="E17" s="15745"/>
      <c r="F17" s="15746"/>
      <c r="G17" s="15747"/>
      <c r="H17" s="15748"/>
      <c r="I17" s="15749"/>
      <c r="J17" s="15750"/>
      <c r="K17" s="15751"/>
      <c r="L17" s="15752"/>
      <c r="M17" s="15753"/>
      <c r="N17" s="15754"/>
      <c r="O17" s="15755"/>
      <c r="P17" s="15756"/>
      <c r="Q17" s="15757"/>
      <c r="R17" s="15758"/>
      <c r="S17" s="15759"/>
      <c r="T17" s="15760"/>
    </row>
    <row r="18">
      <c r="A18" s="15761" t="s">
        <v>97</v>
      </c>
      <c r="B18" s="15762">
        <v>3143</v>
      </c>
      <c r="C18" s="15763">
        <v>7284</v>
      </c>
      <c r="D18" s="15764">
        <v>43.149368478857767</v>
      </c>
      <c r="E18" s="15765"/>
      <c r="F18" s="15766"/>
      <c r="G18" s="15767"/>
      <c r="H18" s="15768"/>
      <c r="I18" s="15769"/>
      <c r="J18" s="15770"/>
      <c r="K18" s="15771"/>
      <c r="L18" s="15772"/>
      <c r="M18" s="15773"/>
      <c r="N18" s="15774"/>
      <c r="O18" s="15775"/>
      <c r="P18" s="15776"/>
      <c r="Q18" s="15777"/>
      <c r="R18" s="15778"/>
      <c r="S18" s="15779"/>
      <c r="T18" s="15780"/>
    </row>
    <row r="19">
      <c r="A19" s="15781" t="s">
        <v>98</v>
      </c>
      <c r="B19" s="15782"/>
      <c r="C19" s="15783"/>
      <c r="D19" s="15784"/>
      <c r="E19" s="15785"/>
      <c r="F19" s="15786"/>
      <c r="G19" s="15787"/>
      <c r="H19" s="15788"/>
      <c r="I19" s="15789"/>
      <c r="J19" s="15790"/>
      <c r="K19" s="15791"/>
      <c r="L19" s="15792"/>
      <c r="M19" s="15793"/>
      <c r="N19" s="15794"/>
      <c r="O19" s="15795"/>
      <c r="P19" s="15796"/>
      <c r="Q19" s="15797"/>
      <c r="R19" s="15798"/>
      <c r="S19" s="15799"/>
      <c r="T19" s="15800"/>
    </row>
    <row r="20">
      <c r="A20" s="15801" t="s">
        <v>132</v>
      </c>
      <c r="B20" s="15802"/>
      <c r="C20" s="15803"/>
      <c r="D20" s="15804"/>
      <c r="E20" s="15805"/>
      <c r="F20" s="15806"/>
      <c r="G20" s="15807"/>
      <c r="H20" s="15808"/>
      <c r="I20" s="15809"/>
      <c r="J20" s="15810"/>
      <c r="K20" s="15811"/>
      <c r="L20" s="15812"/>
      <c r="M20" s="15813"/>
      <c r="N20" s="15814"/>
      <c r="O20" s="15815"/>
      <c r="P20" s="15816"/>
      <c r="Q20" s="15817"/>
      <c r="R20" s="15818"/>
      <c r="S20" s="15819"/>
      <c r="T20" s="15820"/>
    </row>
    <row r="21">
      <c r="A21" t="s">
        <v>127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6" width="15.453125" style="15821" customWidth="true"/>
  </cols>
  <sheetData>
    <row r="1">
      <c r="A1" s="15822" t="s">
        <v>133</v>
      </c>
      <c r="B1" s="15823"/>
      <c r="C1" s="15824"/>
      <c r="D1" s="15825"/>
      <c r="E1" s="15826"/>
      <c r="F1" s="15827"/>
      <c r="G1" s="15828"/>
      <c r="H1" s="15829"/>
      <c r="I1" s="15830"/>
      <c r="J1" s="15831"/>
      <c r="K1" s="15832"/>
      <c r="L1" s="15833"/>
      <c r="M1" s="15834"/>
      <c r="N1" s="15835"/>
      <c r="O1" s="15836"/>
      <c r="P1" s="15837"/>
      <c r="Q1" s="15838"/>
      <c r="R1" s="15839"/>
      <c r="S1" s="15840"/>
      <c r="T1" s="15841"/>
    </row>
    <row r="2">
      <c r="A2" s="15842"/>
      <c r="B2" s="15843" t="s">
        <v>79</v>
      </c>
      <c r="C2" s="15844" t="s">
        <v>80</v>
      </c>
      <c r="D2" s="15845" t="s">
        <v>81</v>
      </c>
      <c r="E2" s="15846"/>
      <c r="F2" s="15847"/>
      <c r="G2" s="15848"/>
      <c r="H2" s="15849"/>
      <c r="I2" s="15850"/>
      <c r="J2" s="15851"/>
      <c r="K2" s="15852"/>
      <c r="L2" s="15853"/>
      <c r="M2" s="15854"/>
      <c r="N2" s="15855"/>
      <c r="O2" s="15856"/>
      <c r="P2" s="15857"/>
      <c r="Q2" s="15858"/>
      <c r="R2" s="15859"/>
      <c r="S2" s="15860"/>
      <c r="T2" s="15861"/>
    </row>
    <row r="3">
      <c r="A3" s="15862" t="s">
        <v>82</v>
      </c>
      <c r="B3" s="15863"/>
      <c r="C3" s="15864"/>
      <c r="D3" s="15865"/>
      <c r="E3" s="15866"/>
      <c r="F3" s="15867"/>
      <c r="G3" s="15868"/>
      <c r="H3" s="15869"/>
      <c r="I3" s="15870"/>
      <c r="J3" s="15871"/>
      <c r="K3" s="15872"/>
      <c r="L3" s="15873"/>
      <c r="M3" s="15874"/>
      <c r="N3" s="15875"/>
      <c r="O3" s="15876"/>
      <c r="P3" s="15877"/>
      <c r="Q3" s="15878"/>
      <c r="R3" s="15879"/>
      <c r="S3" s="15880"/>
      <c r="T3" s="15881"/>
    </row>
    <row r="4">
      <c r="A4" s="15882" t="s">
        <v>83</v>
      </c>
      <c r="B4" s="15883">
        <v>491</v>
      </c>
      <c r="C4" s="15884">
        <v>555</v>
      </c>
      <c r="D4" s="15885">
        <v>88.468468468468458</v>
      </c>
      <c r="E4" s="15886"/>
      <c r="F4" s="15887"/>
      <c r="G4" s="15888"/>
      <c r="H4" s="15889"/>
      <c r="I4" s="15890"/>
      <c r="J4" s="15891"/>
      <c r="K4" s="15892"/>
      <c r="L4" s="15893"/>
      <c r="M4" s="15894"/>
      <c r="N4" s="15895"/>
      <c r="O4" s="15896"/>
      <c r="P4" s="15897"/>
      <c r="Q4" s="15898"/>
      <c r="R4" s="15899"/>
      <c r="S4" s="15900"/>
      <c r="T4" s="15901"/>
    </row>
    <row r="5">
      <c r="A5" s="15902" t="s">
        <v>84</v>
      </c>
      <c r="B5" s="15903">
        <v>449</v>
      </c>
      <c r="C5" s="15904">
        <v>504</v>
      </c>
      <c r="D5" s="15905">
        <v>89.087301587301596</v>
      </c>
      <c r="E5" s="15906"/>
      <c r="F5" s="15907"/>
      <c r="G5" s="15908"/>
      <c r="H5" s="15909"/>
      <c r="I5" s="15910"/>
      <c r="J5" s="15911"/>
      <c r="K5" s="15912"/>
      <c r="L5" s="15913"/>
      <c r="M5" s="15914"/>
      <c r="N5" s="15915"/>
      <c r="O5" s="15916"/>
      <c r="P5" s="15917"/>
      <c r="Q5" s="15918"/>
      <c r="R5" s="15919"/>
      <c r="S5" s="15920"/>
      <c r="T5" s="15921"/>
    </row>
    <row r="6">
      <c r="A6" s="15922" t="s">
        <v>85</v>
      </c>
      <c r="B6" s="15923">
        <v>515</v>
      </c>
      <c r="C6" s="15924">
        <v>584</v>
      </c>
      <c r="D6" s="15925">
        <v>88.184931506849324</v>
      </c>
      <c r="E6" s="15926"/>
      <c r="F6" s="15927"/>
      <c r="G6" s="15928"/>
      <c r="H6" s="15929"/>
      <c r="I6" s="15930"/>
      <c r="J6" s="15931"/>
      <c r="K6" s="15932"/>
      <c r="L6" s="15933"/>
      <c r="M6" s="15934"/>
      <c r="N6" s="15935"/>
      <c r="O6" s="15936"/>
      <c r="P6" s="15937"/>
      <c r="Q6" s="15938"/>
      <c r="R6" s="15939"/>
      <c r="S6" s="15940"/>
      <c r="T6" s="15941"/>
    </row>
    <row r="7">
      <c r="A7" s="15942" t="s">
        <v>86</v>
      </c>
      <c r="B7" s="15943">
        <v>642</v>
      </c>
      <c r="C7" s="15944">
        <v>697</v>
      </c>
      <c r="D7" s="15945">
        <v>92.109038737446198</v>
      </c>
      <c r="E7" s="15946"/>
      <c r="F7" s="15947"/>
      <c r="G7" s="15948"/>
      <c r="H7" s="15949"/>
      <c r="I7" s="15950"/>
      <c r="J7" s="15951"/>
      <c r="K7" s="15952"/>
      <c r="L7" s="15953"/>
      <c r="M7" s="15954"/>
      <c r="N7" s="15955"/>
      <c r="O7" s="15956"/>
      <c r="P7" s="15957"/>
      <c r="Q7" s="15958"/>
      <c r="R7" s="15959"/>
      <c r="S7" s="15960"/>
      <c r="T7" s="15961"/>
    </row>
    <row r="8">
      <c r="A8" s="15962" t="s">
        <v>87</v>
      </c>
      <c r="B8" s="15963">
        <v>481</v>
      </c>
      <c r="C8" s="15964">
        <v>715</v>
      </c>
      <c r="D8" s="15965">
        <v>67.272727272727266</v>
      </c>
      <c r="E8" s="15966"/>
      <c r="F8" s="15967"/>
      <c r="G8" s="15968"/>
      <c r="H8" s="15969"/>
      <c r="I8" s="15970"/>
      <c r="J8" s="15971"/>
      <c r="K8" s="15972"/>
      <c r="L8" s="15973"/>
      <c r="M8" s="15974"/>
      <c r="N8" s="15975"/>
      <c r="O8" s="15976"/>
      <c r="P8" s="15977"/>
      <c r="Q8" s="15978"/>
      <c r="R8" s="15979"/>
      <c r="S8" s="15980"/>
      <c r="T8" s="15981"/>
    </row>
    <row r="9">
      <c r="A9" s="15982" t="s">
        <v>88</v>
      </c>
      <c r="B9" s="15983">
        <v>485</v>
      </c>
      <c r="C9" s="15984">
        <v>695</v>
      </c>
      <c r="D9" s="15985">
        <v>69.7841726618705</v>
      </c>
      <c r="E9" s="15986"/>
      <c r="F9" s="15987"/>
      <c r="G9" s="15988"/>
      <c r="H9" s="15989"/>
      <c r="I9" s="15990"/>
      <c r="J9" s="15991"/>
      <c r="K9" s="15992"/>
      <c r="L9" s="15993"/>
      <c r="M9" s="15994"/>
      <c r="N9" s="15995"/>
      <c r="O9" s="15996"/>
      <c r="P9" s="15997"/>
      <c r="Q9" s="15998"/>
      <c r="R9" s="15999"/>
      <c r="S9" s="16000"/>
      <c r="T9" s="16001"/>
    </row>
    <row r="10">
      <c r="A10" s="16002" t="s">
        <v>89</v>
      </c>
      <c r="B10" s="16003">
        <v>120</v>
      </c>
      <c r="C10" s="16004">
        <v>780</v>
      </c>
      <c r="D10" s="16005">
        <v>15.384615384615385</v>
      </c>
      <c r="E10" s="16006"/>
      <c r="F10" s="16007"/>
      <c r="G10" s="16008"/>
      <c r="H10" s="16009"/>
      <c r="I10" s="16010"/>
      <c r="J10" s="16011"/>
      <c r="K10" s="16012"/>
      <c r="L10" s="16013"/>
      <c r="M10" s="16014"/>
      <c r="N10" s="16015"/>
      <c r="O10" s="16016"/>
      <c r="P10" s="16017"/>
      <c r="Q10" s="16018"/>
      <c r="R10" s="16019"/>
      <c r="S10" s="16020"/>
      <c r="T10" s="16021"/>
    </row>
    <row r="11">
      <c r="A11" s="16022" t="s">
        <v>90</v>
      </c>
      <c r="B11" s="16023">
        <v>24</v>
      </c>
      <c r="C11" s="16024">
        <v>822</v>
      </c>
      <c r="D11" s="16025">
        <v>2.9197080291970803</v>
      </c>
      <c r="E11" s="16026"/>
      <c r="F11" s="16027"/>
      <c r="G11" s="16028"/>
      <c r="H11" s="16029"/>
      <c r="I11" s="16030"/>
      <c r="J11" s="16031"/>
      <c r="K11" s="16032"/>
      <c r="L11" s="16033"/>
      <c r="M11" s="16034"/>
      <c r="N11" s="16035"/>
      <c r="O11" s="16036"/>
      <c r="P11" s="16037"/>
      <c r="Q11" s="16038"/>
      <c r="R11" s="16039"/>
      <c r="S11" s="16040"/>
      <c r="T11" s="16041"/>
    </row>
    <row r="12">
      <c r="A12" s="16042" t="s">
        <v>91</v>
      </c>
      <c r="B12" s="16043">
        <v>14</v>
      </c>
      <c r="C12" s="16044">
        <v>807</v>
      </c>
      <c r="D12" s="16045">
        <v>1.7348203221809171</v>
      </c>
      <c r="E12" s="16046"/>
      <c r="F12" s="16047"/>
      <c r="G12" s="16048"/>
      <c r="H12" s="16049"/>
      <c r="I12" s="16050"/>
      <c r="J12" s="16051"/>
      <c r="K12" s="16052"/>
      <c r="L12" s="16053"/>
      <c r="M12" s="16054"/>
      <c r="N12" s="16055"/>
      <c r="O12" s="16056"/>
      <c r="P12" s="16057"/>
      <c r="Q12" s="16058"/>
      <c r="R12" s="16059"/>
      <c r="S12" s="16060"/>
      <c r="T12" s="16061"/>
    </row>
    <row r="13">
      <c r="A13" s="16062" t="s">
        <v>92</v>
      </c>
      <c r="B13" s="16063">
        <v>42</v>
      </c>
      <c r="C13" s="16064">
        <v>933</v>
      </c>
      <c r="D13" s="16065">
        <v>4.501607717041801</v>
      </c>
      <c r="E13" s="16066"/>
      <c r="F13" s="16067"/>
      <c r="G13" s="16068"/>
      <c r="H13" s="16069"/>
      <c r="I13" s="16070"/>
      <c r="J13" s="16071"/>
      <c r="K13" s="16072"/>
      <c r="L13" s="16073"/>
      <c r="M13" s="16074"/>
      <c r="N13" s="16075"/>
      <c r="O13" s="16076"/>
      <c r="P13" s="16077"/>
      <c r="Q13" s="16078"/>
      <c r="R13" s="16079"/>
      <c r="S13" s="16080"/>
      <c r="T13" s="16081"/>
    </row>
    <row r="14">
      <c r="A14" s="16082" t="s">
        <v>93</v>
      </c>
      <c r="B14" s="16083">
        <v>7</v>
      </c>
      <c r="C14" s="16084">
        <v>854</v>
      </c>
      <c r="D14" s="16085">
        <v>0.81967213114754101</v>
      </c>
      <c r="E14" s="16086"/>
      <c r="F14" s="16087"/>
      <c r="G14" s="16088"/>
      <c r="H14" s="16089"/>
      <c r="I14" s="16090"/>
      <c r="J14" s="16091"/>
      <c r="K14" s="16092"/>
      <c r="L14" s="16093"/>
      <c r="M14" s="16094"/>
      <c r="N14" s="16095"/>
      <c r="O14" s="16096"/>
      <c r="P14" s="16097"/>
      <c r="Q14" s="16098"/>
      <c r="R14" s="16099"/>
      <c r="S14" s="16100"/>
      <c r="T14" s="16101"/>
    </row>
    <row r="15">
      <c r="A15" s="16102" t="s">
        <v>94</v>
      </c>
      <c r="B15" s="16103">
        <v>46</v>
      </c>
      <c r="C15" s="16104">
        <v>730</v>
      </c>
      <c r="D15" s="16105">
        <v>6.3013698630136989</v>
      </c>
      <c r="E15" s="16106"/>
      <c r="F15" s="16107"/>
      <c r="G15" s="16108"/>
      <c r="H15" s="16109"/>
      <c r="I15" s="16110"/>
      <c r="J15" s="16111"/>
      <c r="K15" s="16112"/>
      <c r="L15" s="16113"/>
      <c r="M15" s="16114"/>
      <c r="N15" s="16115"/>
      <c r="O15" s="16116"/>
      <c r="P15" s="16117"/>
      <c r="Q15" s="16118"/>
      <c r="R15" s="16119"/>
      <c r="S15" s="16120"/>
      <c r="T15" s="16121"/>
    </row>
    <row r="16">
      <c r="A16" s="16122" t="s">
        <v>95</v>
      </c>
      <c r="B16" s="16123">
        <v>104</v>
      </c>
      <c r="C16" s="16124">
        <v>809</v>
      </c>
      <c r="D16" s="16125">
        <v>12.855377008652658</v>
      </c>
      <c r="E16" s="16126"/>
      <c r="F16" s="16127"/>
      <c r="G16" s="16128"/>
      <c r="H16" s="16129"/>
      <c r="I16" s="16130"/>
      <c r="J16" s="16131"/>
      <c r="K16" s="16132"/>
      <c r="L16" s="16133"/>
      <c r="M16" s="16134"/>
      <c r="N16" s="16135"/>
      <c r="O16" s="16136"/>
      <c r="P16" s="16137"/>
      <c r="Q16" s="16138"/>
      <c r="R16" s="16139"/>
      <c r="S16" s="16140"/>
      <c r="T16" s="16141"/>
    </row>
    <row r="17">
      <c r="A17" s="16142" t="s">
        <v>96</v>
      </c>
      <c r="B17" s="16143">
        <v>229</v>
      </c>
      <c r="C17" s="16144">
        <v>870</v>
      </c>
      <c r="D17" s="16145">
        <v>26.321839080459768</v>
      </c>
      <c r="E17" s="16146"/>
      <c r="F17" s="16147"/>
      <c r="G17" s="16148"/>
      <c r="H17" s="16149"/>
      <c r="I17" s="16150"/>
      <c r="J17" s="16151"/>
      <c r="K17" s="16152"/>
      <c r="L17" s="16153"/>
      <c r="M17" s="16154"/>
      <c r="N17" s="16155"/>
      <c r="O17" s="16156"/>
      <c r="P17" s="16157"/>
      <c r="Q17" s="16158"/>
      <c r="R17" s="16159"/>
      <c r="S17" s="16160"/>
      <c r="T17" s="16161"/>
    </row>
    <row r="18">
      <c r="A18" s="16162" t="s">
        <v>97</v>
      </c>
      <c r="B18" s="16163">
        <v>3649</v>
      </c>
      <c r="C18" s="16164">
        <v>10355</v>
      </c>
      <c r="D18" s="16165">
        <v>35.2390149686142</v>
      </c>
      <c r="E18" s="16166"/>
      <c r="F18" s="16167"/>
      <c r="G18" s="16168"/>
      <c r="H18" s="16169"/>
      <c r="I18" s="16170"/>
      <c r="J18" s="16171"/>
      <c r="K18" s="16172"/>
      <c r="L18" s="16173"/>
      <c r="M18" s="16174"/>
      <c r="N18" s="16175"/>
      <c r="O18" s="16176"/>
      <c r="P18" s="16177"/>
      <c r="Q18" s="16178"/>
      <c r="R18" s="16179"/>
      <c r="S18" s="16180"/>
      <c r="T18" s="16181"/>
    </row>
    <row r="19">
      <c r="A19" s="16182" t="s">
        <v>98</v>
      </c>
      <c r="B19" s="16183"/>
      <c r="C19" s="16184"/>
      <c r="D19" s="16185"/>
      <c r="E19" s="16186"/>
      <c r="F19" s="16187"/>
      <c r="G19" s="16188"/>
      <c r="H19" s="16189"/>
      <c r="I19" s="16190"/>
      <c r="J19" s="16191"/>
      <c r="K19" s="16192"/>
      <c r="L19" s="16193"/>
      <c r="M19" s="16194"/>
      <c r="N19" s="16195"/>
      <c r="O19" s="16196"/>
      <c r="P19" s="16197"/>
      <c r="Q19" s="16198"/>
      <c r="R19" s="16199"/>
      <c r="S19" s="16200"/>
      <c r="T19" s="16201"/>
    </row>
    <row r="20">
      <c r="A20" s="16202" t="s">
        <v>127</v>
      </c>
      <c r="B20" s="16203"/>
      <c r="C20" s="16204"/>
      <c r="D20" s="16205"/>
      <c r="E20" s="16206"/>
      <c r="F20" s="16207"/>
      <c r="G20" s="16208"/>
      <c r="H20" s="16209"/>
      <c r="I20" s="16210"/>
      <c r="J20" s="16211"/>
      <c r="K20" s="16212"/>
      <c r="L20" s="16213"/>
      <c r="M20" s="16214"/>
      <c r="N20" s="16215"/>
      <c r="O20" s="16216"/>
      <c r="P20" s="16217"/>
      <c r="Q20" s="16218"/>
      <c r="R20" s="16219"/>
      <c r="S20" s="16220"/>
      <c r="T20" s="16221"/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6" width="15.453125" style="16222" customWidth="true"/>
  </cols>
  <sheetData>
    <row r="1">
      <c r="A1" s="16223" t="s">
        <v>134</v>
      </c>
      <c r="B1" s="16224"/>
      <c r="C1" s="16225"/>
      <c r="D1" s="16226"/>
      <c r="E1" s="16227"/>
      <c r="F1" s="16228"/>
      <c r="G1" s="16229"/>
      <c r="H1" s="16230"/>
      <c r="I1" s="16231"/>
      <c r="J1" s="16232"/>
      <c r="K1" s="16233"/>
      <c r="L1" s="16234"/>
      <c r="M1" s="16235"/>
      <c r="N1" s="16236"/>
      <c r="O1" s="16237"/>
      <c r="P1" s="16238"/>
      <c r="Q1" s="16239"/>
      <c r="R1" s="16240"/>
      <c r="S1" s="16241"/>
      <c r="T1" s="16242"/>
    </row>
    <row r="2">
      <c r="A2" s="16243"/>
      <c r="B2" s="16244" t="s">
        <v>79</v>
      </c>
      <c r="C2" s="16245" t="s">
        <v>80</v>
      </c>
      <c r="D2" s="16246" t="s">
        <v>81</v>
      </c>
      <c r="E2" s="16247"/>
      <c r="F2" s="16248"/>
      <c r="G2" s="16249"/>
      <c r="H2" s="16250"/>
      <c r="I2" s="16251"/>
      <c r="J2" s="16252"/>
      <c r="K2" s="16253"/>
      <c r="L2" s="16254"/>
      <c r="M2" s="16255"/>
      <c r="N2" s="16256"/>
      <c r="O2" s="16257"/>
      <c r="P2" s="16258"/>
      <c r="Q2" s="16259"/>
      <c r="R2" s="16260"/>
      <c r="S2" s="16261"/>
      <c r="T2" s="16262"/>
    </row>
    <row r="3">
      <c r="A3" s="16263" t="s">
        <v>82</v>
      </c>
      <c r="B3" s="16264"/>
      <c r="C3" s="16265"/>
      <c r="D3" s="16266"/>
      <c r="E3" s="16267"/>
      <c r="F3" s="16268"/>
      <c r="G3" s="16269"/>
      <c r="H3" s="16270"/>
      <c r="I3" s="16271"/>
      <c r="J3" s="16272"/>
      <c r="K3" s="16273"/>
      <c r="L3" s="16274"/>
      <c r="M3" s="16275"/>
      <c r="N3" s="16276"/>
      <c r="O3" s="16277"/>
      <c r="P3" s="16278"/>
      <c r="Q3" s="16279"/>
      <c r="R3" s="16280"/>
      <c r="S3" s="16281"/>
      <c r="T3" s="16282"/>
    </row>
    <row r="4">
      <c r="A4" s="16283" t="s">
        <v>83</v>
      </c>
      <c r="B4" s="16284">
        <v>299</v>
      </c>
      <c r="C4" s="16285">
        <v>555</v>
      </c>
      <c r="D4" s="16286">
        <v>53.873873873873876</v>
      </c>
      <c r="E4" s="16287"/>
      <c r="F4" s="16288"/>
      <c r="G4" s="16289"/>
      <c r="H4" s="16290"/>
      <c r="I4" s="16291"/>
      <c r="J4" s="16292"/>
      <c r="K4" s="16293"/>
      <c r="L4" s="16294"/>
      <c r="M4" s="16295"/>
      <c r="N4" s="16296"/>
      <c r="O4" s="16297"/>
      <c r="P4" s="16298"/>
      <c r="Q4" s="16299"/>
      <c r="R4" s="16300"/>
      <c r="S4" s="16301"/>
      <c r="T4" s="16302"/>
    </row>
    <row r="5">
      <c r="A5" s="16303" t="s">
        <v>84</v>
      </c>
      <c r="B5" s="16304">
        <v>287</v>
      </c>
      <c r="C5" s="16305">
        <v>504</v>
      </c>
      <c r="D5" s="16306">
        <v>56.944444444444443</v>
      </c>
      <c r="E5" s="16307"/>
      <c r="F5" s="16308"/>
      <c r="G5" s="16309"/>
      <c r="H5" s="16310"/>
      <c r="I5" s="16311"/>
      <c r="J5" s="16312"/>
      <c r="K5" s="16313"/>
      <c r="L5" s="16314"/>
      <c r="M5" s="16315"/>
      <c r="N5" s="16316"/>
      <c r="O5" s="16317"/>
      <c r="P5" s="16318"/>
      <c r="Q5" s="16319"/>
      <c r="R5" s="16320"/>
      <c r="S5" s="16321"/>
      <c r="T5" s="16322"/>
    </row>
    <row r="6">
      <c r="A6" s="16323" t="s">
        <v>85</v>
      </c>
      <c r="B6" s="16324">
        <v>348</v>
      </c>
      <c r="C6" s="16325">
        <v>584</v>
      </c>
      <c r="D6" s="16326">
        <v>59.589041095890416</v>
      </c>
      <c r="E6" s="16327"/>
      <c r="F6" s="16328"/>
      <c r="G6" s="16329"/>
      <c r="H6" s="16330"/>
      <c r="I6" s="16331"/>
      <c r="J6" s="16332"/>
      <c r="K6" s="16333"/>
      <c r="L6" s="16334"/>
      <c r="M6" s="16335"/>
      <c r="N6" s="16336"/>
      <c r="O6" s="16337"/>
      <c r="P6" s="16338"/>
      <c r="Q6" s="16339"/>
      <c r="R6" s="16340"/>
      <c r="S6" s="16341"/>
      <c r="T6" s="16342"/>
    </row>
    <row r="7">
      <c r="A7" s="16343" t="s">
        <v>86</v>
      </c>
      <c r="B7" s="16344">
        <v>433</v>
      </c>
      <c r="C7" s="16345">
        <v>697</v>
      </c>
      <c r="D7" s="16346">
        <v>62.123385939741752</v>
      </c>
      <c r="E7" s="16347"/>
      <c r="F7" s="16348"/>
      <c r="G7" s="16349"/>
      <c r="H7" s="16350"/>
      <c r="I7" s="16351"/>
      <c r="J7" s="16352"/>
      <c r="K7" s="16353"/>
      <c r="L7" s="16354"/>
      <c r="M7" s="16355"/>
      <c r="N7" s="16356"/>
      <c r="O7" s="16357"/>
      <c r="P7" s="16358"/>
      <c r="Q7" s="16359"/>
      <c r="R7" s="16360"/>
      <c r="S7" s="16361"/>
      <c r="T7" s="16362"/>
    </row>
    <row r="8">
      <c r="A8" s="16363" t="s">
        <v>87</v>
      </c>
      <c r="B8" s="16364">
        <v>408</v>
      </c>
      <c r="C8" s="16365">
        <v>715</v>
      </c>
      <c r="D8" s="16366">
        <v>57.06293706293706</v>
      </c>
      <c r="E8" s="16367"/>
      <c r="F8" s="16368"/>
      <c r="G8" s="16369"/>
      <c r="H8" s="16370"/>
      <c r="I8" s="16371"/>
      <c r="J8" s="16372"/>
      <c r="K8" s="16373"/>
      <c r="L8" s="16374"/>
      <c r="M8" s="16375"/>
      <c r="N8" s="16376"/>
      <c r="O8" s="16377"/>
      <c r="P8" s="16378"/>
      <c r="Q8" s="16379"/>
      <c r="R8" s="16380"/>
      <c r="S8" s="16381"/>
      <c r="T8" s="16382"/>
    </row>
    <row r="9">
      <c r="A9" s="16383" t="s">
        <v>88</v>
      </c>
      <c r="B9" s="16384">
        <v>323</v>
      </c>
      <c r="C9" s="16385">
        <v>695</v>
      </c>
      <c r="D9" s="16386">
        <v>46.474820143884891</v>
      </c>
      <c r="E9" s="16387"/>
      <c r="F9" s="16388"/>
      <c r="G9" s="16389"/>
      <c r="H9" s="16390"/>
      <c r="I9" s="16391"/>
      <c r="J9" s="16392"/>
      <c r="K9" s="16393"/>
      <c r="L9" s="16394"/>
      <c r="M9" s="16395"/>
      <c r="N9" s="16396"/>
      <c r="O9" s="16397"/>
      <c r="P9" s="16398"/>
      <c r="Q9" s="16399"/>
      <c r="R9" s="16400"/>
      <c r="S9" s="16401"/>
      <c r="T9" s="16402"/>
    </row>
    <row r="10">
      <c r="A10" s="16403" t="s">
        <v>89</v>
      </c>
      <c r="B10" s="16404">
        <v>439</v>
      </c>
      <c r="C10" s="16405">
        <v>780</v>
      </c>
      <c r="D10" s="16406">
        <v>56.282051282051285</v>
      </c>
      <c r="E10" s="16407"/>
      <c r="F10" s="16408"/>
      <c r="G10" s="16409"/>
      <c r="H10" s="16410"/>
      <c r="I10" s="16411"/>
      <c r="J10" s="16412"/>
      <c r="K10" s="16413"/>
      <c r="L10" s="16414"/>
      <c r="M10" s="16415"/>
      <c r="N10" s="16416"/>
      <c r="O10" s="16417"/>
      <c r="P10" s="16418"/>
      <c r="Q10" s="16419"/>
      <c r="R10" s="16420"/>
      <c r="S10" s="16421"/>
      <c r="T10" s="16422"/>
    </row>
    <row r="11">
      <c r="A11" s="16423" t="s">
        <v>90</v>
      </c>
      <c r="B11" s="16424">
        <v>422</v>
      </c>
      <c r="C11" s="16425">
        <v>822</v>
      </c>
      <c r="D11" s="16426">
        <v>51.338199513382001</v>
      </c>
      <c r="E11" s="16427"/>
      <c r="F11" s="16428"/>
      <c r="G11" s="16429"/>
      <c r="H11" s="16430"/>
      <c r="I11" s="16431"/>
      <c r="J11" s="16432"/>
      <c r="K11" s="16433"/>
      <c r="L11" s="16434"/>
      <c r="M11" s="16435"/>
      <c r="N11" s="16436"/>
      <c r="O11" s="16437"/>
      <c r="P11" s="16438"/>
      <c r="Q11" s="16439"/>
      <c r="R11" s="16440"/>
      <c r="S11" s="16441"/>
      <c r="T11" s="16442"/>
    </row>
    <row r="12">
      <c r="A12" s="16443" t="s">
        <v>91</v>
      </c>
      <c r="B12" s="16444">
        <v>370</v>
      </c>
      <c r="C12" s="16445">
        <v>807</v>
      </c>
      <c r="D12" s="16446">
        <v>45.848822800495661</v>
      </c>
      <c r="E12" s="16447"/>
      <c r="F12" s="16448"/>
      <c r="G12" s="16449"/>
      <c r="H12" s="16450"/>
      <c r="I12" s="16451"/>
      <c r="J12" s="16452"/>
      <c r="K12" s="16453"/>
      <c r="L12" s="16454"/>
      <c r="M12" s="16455"/>
      <c r="N12" s="16456"/>
      <c r="O12" s="16457"/>
      <c r="P12" s="16458"/>
      <c r="Q12" s="16459"/>
      <c r="R12" s="16460"/>
      <c r="S12" s="16461"/>
      <c r="T12" s="16462"/>
    </row>
    <row r="13">
      <c r="A13" s="16463" t="s">
        <v>92</v>
      </c>
      <c r="B13" s="16464">
        <v>437</v>
      </c>
      <c r="C13" s="16465">
        <v>933</v>
      </c>
      <c r="D13" s="16466">
        <v>46.838156484458736</v>
      </c>
      <c r="E13" s="16467"/>
      <c r="F13" s="16468"/>
      <c r="G13" s="16469"/>
      <c r="H13" s="16470"/>
      <c r="I13" s="16471"/>
      <c r="J13" s="16472"/>
      <c r="K13" s="16473"/>
      <c r="L13" s="16474"/>
      <c r="M13" s="16475"/>
      <c r="N13" s="16476"/>
      <c r="O13" s="16477"/>
      <c r="P13" s="16478"/>
      <c r="Q13" s="16479"/>
      <c r="R13" s="16480"/>
      <c r="S13" s="16481"/>
      <c r="T13" s="16482"/>
    </row>
    <row r="14">
      <c r="A14" s="16483" t="s">
        <v>93</v>
      </c>
      <c r="B14" s="16484">
        <v>347</v>
      </c>
      <c r="C14" s="16485">
        <v>850</v>
      </c>
      <c r="D14" s="16486">
        <v>40.82352941176471</v>
      </c>
      <c r="E14" s="16487"/>
      <c r="F14" s="16488"/>
      <c r="G14" s="16489"/>
      <c r="H14" s="16490"/>
      <c r="I14" s="16491"/>
      <c r="J14" s="16492"/>
      <c r="K14" s="16493"/>
      <c r="L14" s="16494"/>
      <c r="M14" s="16495"/>
      <c r="N14" s="16496"/>
      <c r="O14" s="16497"/>
      <c r="P14" s="16498"/>
      <c r="Q14" s="16499"/>
      <c r="R14" s="16500"/>
      <c r="S14" s="16501"/>
      <c r="T14" s="16502"/>
    </row>
    <row r="15">
      <c r="A15" s="16503" t="s">
        <v>94</v>
      </c>
      <c r="B15" s="16504">
        <v>25</v>
      </c>
      <c r="C15" s="16505">
        <v>727</v>
      </c>
      <c r="D15" s="16506">
        <v>3.4387895460797799</v>
      </c>
      <c r="E15" s="16507"/>
      <c r="F15" s="16508"/>
      <c r="G15" s="16509"/>
      <c r="H15" s="16510"/>
      <c r="I15" s="16511"/>
      <c r="J15" s="16512"/>
      <c r="K15" s="16513"/>
      <c r="L15" s="16514"/>
      <c r="M15" s="16515"/>
      <c r="N15" s="16516"/>
      <c r="O15" s="16517"/>
      <c r="P15" s="16518"/>
      <c r="Q15" s="16519"/>
      <c r="R15" s="16520"/>
      <c r="S15" s="16521"/>
      <c r="T15" s="16522"/>
    </row>
    <row r="16">
      <c r="A16" s="16523" t="s">
        <v>95</v>
      </c>
      <c r="B16" s="16524">
        <v>69</v>
      </c>
      <c r="C16" s="16525">
        <v>808</v>
      </c>
      <c r="D16" s="16526">
        <v>8.5396039603960396</v>
      </c>
      <c r="E16" s="16527"/>
      <c r="F16" s="16528"/>
      <c r="G16" s="16529"/>
      <c r="H16" s="16530"/>
      <c r="I16" s="16531"/>
      <c r="J16" s="16532"/>
      <c r="K16" s="16533"/>
      <c r="L16" s="16534"/>
      <c r="M16" s="16535"/>
      <c r="N16" s="16536"/>
      <c r="O16" s="16537"/>
      <c r="P16" s="16538"/>
      <c r="Q16" s="16539"/>
      <c r="R16" s="16540"/>
      <c r="S16" s="16541"/>
      <c r="T16" s="16542"/>
    </row>
    <row r="17">
      <c r="A17" s="16543" t="s">
        <v>96</v>
      </c>
      <c r="B17" s="16544">
        <v>25</v>
      </c>
      <c r="C17" s="16545">
        <v>866</v>
      </c>
      <c r="D17" s="16546">
        <v>2.8868360277136258</v>
      </c>
      <c r="E17" s="16547"/>
      <c r="F17" s="16548"/>
      <c r="G17" s="16549"/>
      <c r="H17" s="16550"/>
      <c r="I17" s="16551"/>
      <c r="J17" s="16552"/>
      <c r="K17" s="16553"/>
      <c r="L17" s="16554"/>
      <c r="M17" s="16555"/>
      <c r="N17" s="16556"/>
      <c r="O17" s="16557"/>
      <c r="P17" s="16558"/>
      <c r="Q17" s="16559"/>
      <c r="R17" s="16560"/>
      <c r="S17" s="16561"/>
      <c r="T17" s="16562"/>
    </row>
    <row r="18">
      <c r="A18" s="16563" t="s">
        <v>97</v>
      </c>
      <c r="B18" s="16564">
        <v>4232</v>
      </c>
      <c r="C18" s="16565">
        <v>10343</v>
      </c>
      <c r="D18" s="16566">
        <v>40.91656192594025</v>
      </c>
      <c r="E18" s="16567"/>
      <c r="F18" s="16568"/>
      <c r="G18" s="16569"/>
      <c r="H18" s="16570"/>
      <c r="I18" s="16571"/>
      <c r="J18" s="16572"/>
      <c r="K18" s="16573"/>
      <c r="L18" s="16574"/>
      <c r="M18" s="16575"/>
      <c r="N18" s="16576"/>
      <c r="O18" s="16577"/>
      <c r="P18" s="16578"/>
      <c r="Q18" s="16579"/>
      <c r="R18" s="16580"/>
      <c r="S18" s="16581"/>
      <c r="T18" s="16582"/>
    </row>
    <row r="19">
      <c r="A19" s="16583" t="s">
        <v>98</v>
      </c>
      <c r="B19" s="16584"/>
      <c r="C19" s="16585"/>
      <c r="D19" s="16586"/>
      <c r="E19" s="16587"/>
      <c r="F19" s="16588"/>
      <c r="G19" s="16589"/>
      <c r="H19" s="16590"/>
      <c r="I19" s="16591"/>
      <c r="J19" s="16592"/>
      <c r="K19" s="16593"/>
      <c r="L19" s="16594"/>
      <c r="M19" s="16595"/>
      <c r="N19" s="16596"/>
      <c r="O19" s="16597"/>
      <c r="P19" s="16598"/>
      <c r="Q19" s="16599"/>
      <c r="R19" s="16600"/>
      <c r="S19" s="16601"/>
      <c r="T19" s="16602"/>
    </row>
    <row r="20">
      <c r="A20" s="16603" t="s">
        <v>127</v>
      </c>
      <c r="B20" s="16604"/>
      <c r="C20" s="16605"/>
      <c r="D20" s="16606"/>
      <c r="E20" s="16607"/>
      <c r="F20" s="16608"/>
      <c r="G20" s="16609"/>
      <c r="H20" s="16610"/>
      <c r="I20" s="16611"/>
      <c r="J20" s="16612"/>
      <c r="K20" s="16613"/>
      <c r="L20" s="16614"/>
      <c r="M20" s="16615"/>
      <c r="N20" s="16616"/>
      <c r="O20" s="16617"/>
      <c r="P20" s="16618"/>
      <c r="Q20" s="16619"/>
      <c r="R20" s="16620"/>
      <c r="S20" s="16621"/>
      <c r="T20" s="16622"/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6" width="15.453125" style="16623" customWidth="true"/>
  </cols>
  <sheetData>
    <row r="1">
      <c r="A1" s="16624" t="s">
        <v>135</v>
      </c>
      <c r="B1" s="16625"/>
      <c r="C1" s="16626"/>
      <c r="D1" s="16627"/>
      <c r="E1" s="16628"/>
      <c r="F1" s="16629"/>
      <c r="G1" s="16630"/>
      <c r="H1" s="16631"/>
      <c r="I1" s="16632"/>
      <c r="J1" s="16633"/>
      <c r="K1" s="16634"/>
      <c r="L1" s="16635"/>
      <c r="M1" s="16636"/>
      <c r="N1" s="16637"/>
      <c r="O1" s="16638"/>
      <c r="P1" s="16639"/>
      <c r="Q1" s="16640"/>
      <c r="R1" s="16641"/>
      <c r="S1" s="16642"/>
      <c r="T1" s="16643"/>
    </row>
    <row r="2">
      <c r="A2" s="16644"/>
      <c r="B2" s="16645" t="s">
        <v>79</v>
      </c>
      <c r="C2" s="16646" t="s">
        <v>80</v>
      </c>
      <c r="D2" s="16647" t="s">
        <v>81</v>
      </c>
      <c r="E2" s="16648"/>
      <c r="F2" s="16649"/>
      <c r="G2" s="16650"/>
      <c r="H2" s="16651"/>
      <c r="I2" s="16652"/>
      <c r="J2" s="16653"/>
      <c r="K2" s="16654"/>
      <c r="L2" s="16655"/>
      <c r="M2" s="16656"/>
      <c r="N2" s="16657"/>
      <c r="O2" s="16658"/>
      <c r="P2" s="16659"/>
      <c r="Q2" s="16660"/>
      <c r="R2" s="16661"/>
      <c r="S2" s="16662"/>
      <c r="T2" s="16663"/>
    </row>
    <row r="3">
      <c r="A3" s="16664" t="s">
        <v>82</v>
      </c>
      <c r="B3" s="16665"/>
      <c r="C3" s="16666"/>
      <c r="D3" s="16667"/>
      <c r="E3" s="16668"/>
      <c r="F3" s="16669"/>
      <c r="G3" s="16670"/>
      <c r="H3" s="16671"/>
      <c r="I3" s="16672"/>
      <c r="J3" s="16673"/>
      <c r="K3" s="16674"/>
      <c r="L3" s="16675"/>
      <c r="M3" s="16676"/>
      <c r="N3" s="16677"/>
      <c r="O3" s="16678"/>
      <c r="P3" s="16679"/>
      <c r="Q3" s="16680"/>
      <c r="R3" s="16681"/>
      <c r="S3" s="16682"/>
      <c r="T3" s="16683"/>
    </row>
    <row r="4">
      <c r="A4" s="16684" t="s">
        <v>83</v>
      </c>
      <c r="B4" s="16685">
        <v>414</v>
      </c>
      <c r="C4" s="16686">
        <v>555</v>
      </c>
      <c r="D4" s="16687">
        <v>74.594594594594597</v>
      </c>
      <c r="E4" s="16688"/>
      <c r="F4" s="16689"/>
      <c r="G4" s="16690"/>
      <c r="H4" s="16691"/>
      <c r="I4" s="16692"/>
      <c r="J4" s="16693"/>
      <c r="K4" s="16694"/>
      <c r="L4" s="16695"/>
      <c r="M4" s="16696"/>
      <c r="N4" s="16697"/>
      <c r="O4" s="16698"/>
      <c r="P4" s="16699"/>
      <c r="Q4" s="16700"/>
      <c r="R4" s="16701"/>
      <c r="S4" s="16702"/>
      <c r="T4" s="16703"/>
    </row>
    <row r="5">
      <c r="A5" s="16704" t="s">
        <v>84</v>
      </c>
      <c r="B5" s="16705">
        <v>387</v>
      </c>
      <c r="C5" s="16706">
        <v>504</v>
      </c>
      <c r="D5" s="16707">
        <v>76.785714285714292</v>
      </c>
      <c r="E5" s="16708"/>
      <c r="F5" s="16709"/>
      <c r="G5" s="16710"/>
      <c r="H5" s="16711"/>
      <c r="I5" s="16712"/>
      <c r="J5" s="16713"/>
      <c r="K5" s="16714"/>
      <c r="L5" s="16715"/>
      <c r="M5" s="16716"/>
      <c r="N5" s="16717"/>
      <c r="O5" s="16718"/>
      <c r="P5" s="16719"/>
      <c r="Q5" s="16720"/>
      <c r="R5" s="16721"/>
      <c r="S5" s="16722"/>
      <c r="T5" s="16723"/>
    </row>
    <row r="6">
      <c r="A6" s="16724" t="s">
        <v>85</v>
      </c>
      <c r="B6" s="16725">
        <v>442</v>
      </c>
      <c r="C6" s="16726">
        <v>584</v>
      </c>
      <c r="D6" s="16727">
        <v>75.684931506849324</v>
      </c>
      <c r="E6" s="16728"/>
      <c r="F6" s="16729"/>
      <c r="G6" s="16730"/>
      <c r="H6" s="16731"/>
      <c r="I6" s="16732"/>
      <c r="J6" s="16733"/>
      <c r="K6" s="16734"/>
      <c r="L6" s="16735"/>
      <c r="M6" s="16736"/>
      <c r="N6" s="16737"/>
      <c r="O6" s="16738"/>
      <c r="P6" s="16739"/>
      <c r="Q6" s="16740"/>
      <c r="R6" s="16741"/>
      <c r="S6" s="16742"/>
      <c r="T6" s="16743"/>
    </row>
    <row r="7">
      <c r="A7" s="16744" t="s">
        <v>86</v>
      </c>
      <c r="B7" s="16745">
        <v>511</v>
      </c>
      <c r="C7" s="16746">
        <v>697</v>
      </c>
      <c r="D7" s="16747">
        <v>73.314203730272595</v>
      </c>
      <c r="E7" s="16748"/>
      <c r="F7" s="16749"/>
      <c r="G7" s="16750"/>
      <c r="H7" s="16751"/>
      <c r="I7" s="16752"/>
      <c r="J7" s="16753"/>
      <c r="K7" s="16754"/>
      <c r="L7" s="16755"/>
      <c r="M7" s="16756"/>
      <c r="N7" s="16757"/>
      <c r="O7" s="16758"/>
      <c r="P7" s="16759"/>
      <c r="Q7" s="16760"/>
      <c r="R7" s="16761"/>
      <c r="S7" s="16762"/>
      <c r="T7" s="16763"/>
    </row>
    <row r="8">
      <c r="A8" s="16764" t="s">
        <v>87</v>
      </c>
      <c r="B8" s="16765">
        <v>520</v>
      </c>
      <c r="C8" s="16766">
        <v>715</v>
      </c>
      <c r="D8" s="16767">
        <v>72.727272727272734</v>
      </c>
      <c r="E8" s="16768"/>
      <c r="F8" s="16769"/>
      <c r="G8" s="16770"/>
      <c r="H8" s="16771"/>
      <c r="I8" s="16772"/>
      <c r="J8" s="16773"/>
      <c r="K8" s="16774"/>
      <c r="L8" s="16775"/>
      <c r="M8" s="16776"/>
      <c r="N8" s="16777"/>
      <c r="O8" s="16778"/>
      <c r="P8" s="16779"/>
      <c r="Q8" s="16780"/>
      <c r="R8" s="16781"/>
      <c r="S8" s="16782"/>
      <c r="T8" s="16783"/>
    </row>
    <row r="9">
      <c r="A9" s="16784" t="s">
        <v>88</v>
      </c>
      <c r="B9" s="16785">
        <v>488</v>
      </c>
      <c r="C9" s="16786">
        <v>695</v>
      </c>
      <c r="D9" s="16787">
        <v>70.2158273381295</v>
      </c>
      <c r="E9" s="16788"/>
      <c r="F9" s="16789"/>
      <c r="G9" s="16790"/>
      <c r="H9" s="16791"/>
      <c r="I9" s="16792"/>
      <c r="J9" s="16793"/>
      <c r="K9" s="16794"/>
      <c r="L9" s="16795"/>
      <c r="M9" s="16796"/>
      <c r="N9" s="16797"/>
      <c r="O9" s="16798"/>
      <c r="P9" s="16799"/>
      <c r="Q9" s="16800"/>
      <c r="R9" s="16801"/>
      <c r="S9" s="16802"/>
      <c r="T9" s="16803"/>
    </row>
    <row r="10">
      <c r="A10" s="16804" t="s">
        <v>89</v>
      </c>
      <c r="B10" s="16805">
        <v>587</v>
      </c>
      <c r="C10" s="16806">
        <v>780</v>
      </c>
      <c r="D10" s="16807">
        <v>75.256410256410248</v>
      </c>
      <c r="E10" s="16808"/>
      <c r="F10" s="16809"/>
      <c r="G10" s="16810"/>
      <c r="H10" s="16811"/>
      <c r="I10" s="16812"/>
      <c r="J10" s="16813"/>
      <c r="K10" s="16814"/>
      <c r="L10" s="16815"/>
      <c r="M10" s="16816"/>
      <c r="N10" s="16817"/>
      <c r="O10" s="16818"/>
      <c r="P10" s="16819"/>
      <c r="Q10" s="16820"/>
      <c r="R10" s="16821"/>
      <c r="S10" s="16822"/>
      <c r="T10" s="16823"/>
    </row>
    <row r="11">
      <c r="A11" s="16824" t="s">
        <v>90</v>
      </c>
      <c r="B11" s="16825">
        <v>603</v>
      </c>
      <c r="C11" s="16826">
        <v>822</v>
      </c>
      <c r="D11" s="16827">
        <v>73.357664233576642</v>
      </c>
      <c r="E11" s="16828"/>
      <c r="F11" s="16829"/>
      <c r="G11" s="16830"/>
      <c r="H11" s="16831"/>
      <c r="I11" s="16832"/>
      <c r="J11" s="16833"/>
      <c r="K11" s="16834"/>
      <c r="L11" s="16835"/>
      <c r="M11" s="16836"/>
      <c r="N11" s="16837"/>
      <c r="O11" s="16838"/>
      <c r="P11" s="16839"/>
      <c r="Q11" s="16840"/>
      <c r="R11" s="16841"/>
      <c r="S11" s="16842"/>
      <c r="T11" s="16843"/>
    </row>
    <row r="12">
      <c r="A12" s="16844" t="s">
        <v>91</v>
      </c>
      <c r="B12" s="16845">
        <v>587</v>
      </c>
      <c r="C12" s="16846">
        <v>807</v>
      </c>
      <c r="D12" s="16847">
        <v>72.738537794299873</v>
      </c>
      <c r="E12" s="16848"/>
      <c r="F12" s="16849"/>
      <c r="G12" s="16850"/>
      <c r="H12" s="16851"/>
      <c r="I12" s="16852"/>
      <c r="J12" s="16853"/>
      <c r="K12" s="16854"/>
      <c r="L12" s="16855"/>
      <c r="M12" s="16856"/>
      <c r="N12" s="16857"/>
      <c r="O12" s="16858"/>
      <c r="P12" s="16859"/>
      <c r="Q12" s="16860"/>
      <c r="R12" s="16861"/>
      <c r="S12" s="16862"/>
      <c r="T12" s="16863"/>
    </row>
    <row r="13">
      <c r="A13" s="16864" t="s">
        <v>92</v>
      </c>
      <c r="B13" s="16865">
        <v>681</v>
      </c>
      <c r="C13" s="16866">
        <v>933</v>
      </c>
      <c r="D13" s="16867">
        <v>72.9903536977492</v>
      </c>
      <c r="E13" s="16868"/>
      <c r="F13" s="16869"/>
      <c r="G13" s="16870"/>
      <c r="H13" s="16871"/>
      <c r="I13" s="16872"/>
      <c r="J13" s="16873"/>
      <c r="K13" s="16874"/>
      <c r="L13" s="16875"/>
      <c r="M13" s="16876"/>
      <c r="N13" s="16877"/>
      <c r="O13" s="16878"/>
      <c r="P13" s="16879"/>
      <c r="Q13" s="16880"/>
      <c r="R13" s="16881"/>
      <c r="S13" s="16882"/>
      <c r="T13" s="16883"/>
    </row>
    <row r="14">
      <c r="A14" s="16884" t="s">
        <v>93</v>
      </c>
      <c r="B14" s="16885">
        <v>611</v>
      </c>
      <c r="C14" s="16886">
        <v>850</v>
      </c>
      <c r="D14" s="16887">
        <v>71.882352941176478</v>
      </c>
      <c r="E14" s="16888"/>
      <c r="F14" s="16889"/>
      <c r="G14" s="16890"/>
      <c r="H14" s="16891"/>
      <c r="I14" s="16892"/>
      <c r="J14" s="16893"/>
      <c r="K14" s="16894"/>
      <c r="L14" s="16895"/>
      <c r="M14" s="16896"/>
      <c r="N14" s="16897"/>
      <c r="O14" s="16898"/>
      <c r="P14" s="16899"/>
      <c r="Q14" s="16900"/>
      <c r="R14" s="16901"/>
      <c r="S14" s="16902"/>
      <c r="T14" s="16903"/>
    </row>
    <row r="15">
      <c r="A15" s="16904" t="s">
        <v>94</v>
      </c>
      <c r="B15" s="16905">
        <v>25</v>
      </c>
      <c r="C15" s="16906">
        <v>727</v>
      </c>
      <c r="D15" s="16907">
        <v>3.4387895460797799</v>
      </c>
      <c r="E15" s="16908"/>
      <c r="F15" s="16909"/>
      <c r="G15" s="16910"/>
      <c r="H15" s="16911"/>
      <c r="I15" s="16912"/>
      <c r="J15" s="16913"/>
      <c r="K15" s="16914"/>
      <c r="L15" s="16915"/>
      <c r="M15" s="16916"/>
      <c r="N15" s="16917"/>
      <c r="O15" s="16918"/>
      <c r="P15" s="16919"/>
      <c r="Q15" s="16920"/>
      <c r="R15" s="16921"/>
      <c r="S15" s="16922"/>
      <c r="T15" s="16923"/>
    </row>
    <row r="16">
      <c r="A16" s="16924" t="s">
        <v>95</v>
      </c>
      <c r="B16" s="16925">
        <v>69</v>
      </c>
      <c r="C16" s="16926">
        <v>808</v>
      </c>
      <c r="D16" s="16927">
        <v>8.5396039603960396</v>
      </c>
      <c r="E16" s="16928"/>
      <c r="F16" s="16929"/>
      <c r="G16" s="16930"/>
      <c r="H16" s="16931"/>
      <c r="I16" s="16932"/>
      <c r="J16" s="16933"/>
      <c r="K16" s="16934"/>
      <c r="L16" s="16935"/>
      <c r="M16" s="16936"/>
      <c r="N16" s="16937"/>
      <c r="O16" s="16938"/>
      <c r="P16" s="16939"/>
      <c r="Q16" s="16940"/>
      <c r="R16" s="16941"/>
      <c r="S16" s="16942"/>
      <c r="T16" s="16943"/>
    </row>
    <row r="17">
      <c r="A17" s="16944" t="s">
        <v>96</v>
      </c>
      <c r="B17" s="16945">
        <v>25</v>
      </c>
      <c r="C17" s="16946">
        <v>866</v>
      </c>
      <c r="D17" s="16947">
        <v>2.8868360277136258</v>
      </c>
      <c r="E17" s="16948"/>
      <c r="F17" s="16949"/>
      <c r="G17" s="16950"/>
      <c r="H17" s="16951"/>
      <c r="I17" s="16952"/>
      <c r="J17" s="16953"/>
      <c r="K17" s="16954"/>
      <c r="L17" s="16955"/>
      <c r="M17" s="16956"/>
      <c r="N17" s="16957"/>
      <c r="O17" s="16958"/>
      <c r="P17" s="16959"/>
      <c r="Q17" s="16960"/>
      <c r="R17" s="16961"/>
      <c r="S17" s="16962"/>
      <c r="T17" s="16963"/>
    </row>
    <row r="18">
      <c r="A18" s="16964" t="s">
        <v>97</v>
      </c>
      <c r="B18" s="16965">
        <v>5950</v>
      </c>
      <c r="C18" s="16966">
        <v>10343</v>
      </c>
      <c r="D18" s="16967">
        <v>57.526829739920714</v>
      </c>
      <c r="E18" s="16968"/>
      <c r="F18" s="16969"/>
      <c r="G18" s="16970"/>
      <c r="H18" s="16971"/>
      <c r="I18" s="16972"/>
      <c r="J18" s="16973"/>
      <c r="K18" s="16974"/>
      <c r="L18" s="16975"/>
      <c r="M18" s="16976"/>
      <c r="N18" s="16977"/>
      <c r="O18" s="16978"/>
      <c r="P18" s="16979"/>
      <c r="Q18" s="16980"/>
      <c r="R18" s="16981"/>
      <c r="S18" s="16982"/>
      <c r="T18" s="16983"/>
    </row>
    <row r="19">
      <c r="A19" s="16984" t="s">
        <v>98</v>
      </c>
      <c r="B19" s="16985"/>
      <c r="C19" s="16986"/>
      <c r="D19" s="16987"/>
      <c r="E19" s="16988"/>
      <c r="F19" s="16989"/>
      <c r="G19" s="16990"/>
      <c r="H19" s="16991"/>
      <c r="I19" s="16992"/>
      <c r="J19" s="16993"/>
      <c r="K19" s="16994"/>
      <c r="L19" s="16995"/>
      <c r="M19" s="16996"/>
      <c r="N19" s="16997"/>
      <c r="O19" s="16998"/>
      <c r="P19" s="16999"/>
      <c r="Q19" s="17000"/>
      <c r="R19" s="17001"/>
      <c r="S19" s="17002"/>
      <c r="T19" s="17003"/>
    </row>
    <row r="20">
      <c r="A20" s="17004" t="s">
        <v>127</v>
      </c>
      <c r="B20" s="17005"/>
      <c r="C20" s="17006"/>
      <c r="D20" s="17007"/>
      <c r="E20" s="17008"/>
      <c r="F20" s="17009"/>
      <c r="G20" s="17010"/>
      <c r="H20" s="17011"/>
      <c r="I20" s="17012"/>
      <c r="J20" s="17013"/>
      <c r="K20" s="17014"/>
      <c r="L20" s="17015"/>
      <c r="M20" s="17016"/>
      <c r="N20" s="17017"/>
      <c r="O20" s="17018"/>
      <c r="P20" s="17019"/>
      <c r="Q20" s="17020"/>
      <c r="R20" s="17021"/>
      <c r="S20" s="17022"/>
      <c r="T20" s="17023"/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6" width="15.453125" style="17024" customWidth="true"/>
  </cols>
  <sheetData>
    <row r="1">
      <c r="A1" s="17025" t="s">
        <v>136</v>
      </c>
      <c r="B1" s="17026"/>
      <c r="C1" s="17027"/>
      <c r="D1" s="17028"/>
      <c r="E1" s="17029"/>
      <c r="F1" s="17030"/>
      <c r="G1" s="17031"/>
      <c r="H1" s="17032"/>
      <c r="I1" s="17033"/>
      <c r="J1" s="17034"/>
      <c r="K1" s="17035"/>
      <c r="L1" s="17036"/>
      <c r="M1" s="17037"/>
      <c r="N1" s="17038"/>
      <c r="O1" s="17039"/>
      <c r="P1" s="17040"/>
      <c r="Q1" s="17041"/>
      <c r="R1" s="17042"/>
      <c r="S1" s="17043"/>
      <c r="T1" s="17044"/>
    </row>
    <row r="2">
      <c r="A2" s="17045"/>
      <c r="B2" s="17046" t="s">
        <v>79</v>
      </c>
      <c r="C2" s="17047" t="s">
        <v>80</v>
      </c>
      <c r="D2" s="17048"/>
      <c r="E2" s="17049"/>
      <c r="F2" s="17050"/>
      <c r="G2" s="17051"/>
      <c r="H2" s="17052"/>
      <c r="I2" s="17053"/>
      <c r="J2" s="17054"/>
      <c r="K2" s="17055"/>
      <c r="L2" s="17056"/>
      <c r="M2" s="17057"/>
      <c r="N2" s="17058"/>
      <c r="O2" s="17059"/>
      <c r="P2" s="17060"/>
      <c r="Q2" s="17061"/>
      <c r="R2" s="17062"/>
      <c r="S2" s="17063"/>
      <c r="T2" s="17064"/>
    </row>
    <row r="3">
      <c r="A3" s="17065" t="s">
        <v>82</v>
      </c>
      <c r="B3" s="17066"/>
      <c r="C3" s="17067"/>
      <c r="D3" s="17068"/>
      <c r="E3" s="17069"/>
      <c r="F3" s="17070"/>
      <c r="G3" s="17071"/>
      <c r="H3" s="17072"/>
      <c r="I3" s="17073"/>
      <c r="J3" s="17074"/>
      <c r="K3" s="17075"/>
      <c r="L3" s="17076"/>
      <c r="M3" s="17077"/>
      <c r="N3" s="17078"/>
      <c r="O3" s="17079"/>
      <c r="P3" s="17080"/>
      <c r="Q3" s="17081"/>
      <c r="R3" s="17082"/>
      <c r="S3" s="17083"/>
      <c r="T3" s="17084"/>
    </row>
    <row r="4">
      <c r="A4" s="17085" t="s">
        <v>83</v>
      </c>
      <c r="B4" s="17086">
        <v>0</v>
      </c>
      <c r="C4" s="17087">
        <v>555</v>
      </c>
      <c r="D4" s="17088"/>
      <c r="E4" s="17089"/>
      <c r="F4" s="17090"/>
      <c r="G4" s="17091"/>
      <c r="H4" s="17092"/>
      <c r="I4" s="17093"/>
      <c r="J4" s="17094"/>
      <c r="K4" s="17095"/>
      <c r="L4" s="17096"/>
      <c r="M4" s="17097"/>
      <c r="N4" s="17098"/>
      <c r="O4" s="17099"/>
      <c r="P4" s="17100"/>
      <c r="Q4" s="17101"/>
      <c r="R4" s="17102"/>
      <c r="S4" s="17103"/>
      <c r="T4" s="17104"/>
    </row>
    <row r="5">
      <c r="A5" s="17105" t="s">
        <v>84</v>
      </c>
      <c r="B5" s="17106">
        <v>0</v>
      </c>
      <c r="C5" s="17107">
        <v>504</v>
      </c>
      <c r="D5" s="17108"/>
      <c r="E5" s="17109"/>
      <c r="F5" s="17110"/>
      <c r="G5" s="17111"/>
      <c r="H5" s="17112"/>
      <c r="I5" s="17113"/>
      <c r="J5" s="17114"/>
      <c r="K5" s="17115"/>
      <c r="L5" s="17116"/>
      <c r="M5" s="17117"/>
      <c r="N5" s="17118"/>
      <c r="O5" s="17119"/>
      <c r="P5" s="17120"/>
      <c r="Q5" s="17121"/>
      <c r="R5" s="17122"/>
      <c r="S5" s="17123"/>
      <c r="T5" s="17124"/>
    </row>
    <row r="6">
      <c r="A6" s="17125" t="s">
        <v>85</v>
      </c>
      <c r="B6" s="17126">
        <v>0</v>
      </c>
      <c r="C6" s="17127">
        <v>584</v>
      </c>
      <c r="D6" s="17128"/>
      <c r="E6" s="17129"/>
      <c r="F6" s="17130"/>
      <c r="G6" s="17131"/>
      <c r="H6" s="17132"/>
      <c r="I6" s="17133"/>
      <c r="J6" s="17134"/>
      <c r="K6" s="17135"/>
      <c r="L6" s="17136"/>
      <c r="M6" s="17137"/>
      <c r="N6" s="17138"/>
      <c r="O6" s="17139"/>
      <c r="P6" s="17140"/>
      <c r="Q6" s="17141"/>
      <c r="R6" s="17142"/>
      <c r="S6" s="17143"/>
      <c r="T6" s="17144"/>
    </row>
    <row r="7">
      <c r="A7" s="17145" t="s">
        <v>86</v>
      </c>
      <c r="B7" s="17146">
        <v>0</v>
      </c>
      <c r="C7" s="17147">
        <v>697</v>
      </c>
      <c r="D7" s="17148"/>
      <c r="E7" s="17149"/>
      <c r="F7" s="17150"/>
      <c r="G7" s="17151"/>
      <c r="H7" s="17152"/>
      <c r="I7" s="17153"/>
      <c r="J7" s="17154"/>
      <c r="K7" s="17155"/>
      <c r="L7" s="17156"/>
      <c r="M7" s="17157"/>
      <c r="N7" s="17158"/>
      <c r="O7" s="17159"/>
      <c r="P7" s="17160"/>
      <c r="Q7" s="17161"/>
      <c r="R7" s="17162"/>
      <c r="S7" s="17163"/>
      <c r="T7" s="17164"/>
    </row>
    <row r="8">
      <c r="A8" s="17165" t="s">
        <v>87</v>
      </c>
      <c r="B8" s="17166">
        <v>0</v>
      </c>
      <c r="C8" s="17167">
        <v>715</v>
      </c>
      <c r="D8" s="17168"/>
      <c r="E8" s="17169"/>
      <c r="F8" s="17170"/>
      <c r="G8" s="17171"/>
      <c r="H8" s="17172"/>
      <c r="I8" s="17173"/>
      <c r="J8" s="17174"/>
      <c r="K8" s="17175"/>
      <c r="L8" s="17176"/>
      <c r="M8" s="17177"/>
      <c r="N8" s="17178"/>
      <c r="O8" s="17179"/>
      <c r="P8" s="17180"/>
      <c r="Q8" s="17181"/>
      <c r="R8" s="17182"/>
      <c r="S8" s="17183"/>
      <c r="T8" s="17184"/>
    </row>
    <row r="9">
      <c r="A9" s="17185" t="s">
        <v>88</v>
      </c>
      <c r="B9" s="17186">
        <v>0</v>
      </c>
      <c r="C9" s="17187">
        <v>695</v>
      </c>
      <c r="D9" s="17188"/>
      <c r="E9" s="17189"/>
      <c r="F9" s="17190"/>
      <c r="G9" s="17191"/>
      <c r="H9" s="17192"/>
      <c r="I9" s="17193"/>
      <c r="J9" s="17194"/>
      <c r="K9" s="17195"/>
      <c r="L9" s="17196"/>
      <c r="M9" s="17197"/>
      <c r="N9" s="17198"/>
      <c r="O9" s="17199"/>
      <c r="P9" s="17200"/>
      <c r="Q9" s="17201"/>
      <c r="R9" s="17202"/>
      <c r="S9" s="17203"/>
      <c r="T9" s="17204"/>
    </row>
    <row r="10">
      <c r="A10" s="17205" t="s">
        <v>89</v>
      </c>
      <c r="B10" s="17206">
        <v>0</v>
      </c>
      <c r="C10" s="17207">
        <v>780</v>
      </c>
      <c r="D10" s="17208"/>
      <c r="E10" s="17209"/>
      <c r="F10" s="17210"/>
      <c r="G10" s="17211"/>
      <c r="H10" s="17212"/>
      <c r="I10" s="17213"/>
      <c r="J10" s="17214"/>
      <c r="K10" s="17215"/>
      <c r="L10" s="17216"/>
      <c r="M10" s="17217"/>
      <c r="N10" s="17218"/>
      <c r="O10" s="17219"/>
      <c r="P10" s="17220"/>
      <c r="Q10" s="17221"/>
      <c r="R10" s="17222"/>
      <c r="S10" s="17223"/>
      <c r="T10" s="17224"/>
    </row>
    <row r="11">
      <c r="A11" s="17225" t="s">
        <v>90</v>
      </c>
      <c r="B11" s="17226">
        <v>0</v>
      </c>
      <c r="C11" s="17227">
        <v>822</v>
      </c>
      <c r="D11" s="17228"/>
      <c r="E11" s="17229"/>
      <c r="F11" s="17230"/>
      <c r="G11" s="17231"/>
      <c r="H11" s="17232"/>
      <c r="I11" s="17233"/>
      <c r="J11" s="17234"/>
      <c r="K11" s="17235"/>
      <c r="L11" s="17236"/>
      <c r="M11" s="17237"/>
      <c r="N11" s="17238"/>
      <c r="O11" s="17239"/>
      <c r="P11" s="17240"/>
      <c r="Q11" s="17241"/>
      <c r="R11" s="17242"/>
      <c r="S11" s="17243"/>
      <c r="T11" s="17244"/>
    </row>
    <row r="12">
      <c r="A12" s="17245" t="s">
        <v>91</v>
      </c>
      <c r="B12" s="17246">
        <v>0</v>
      </c>
      <c r="C12" s="17247">
        <v>807</v>
      </c>
      <c r="D12" s="17248"/>
      <c r="E12" s="17249"/>
      <c r="F12" s="17250"/>
      <c r="G12" s="17251"/>
      <c r="H12" s="17252"/>
      <c r="I12" s="17253"/>
      <c r="J12" s="17254"/>
      <c r="K12" s="17255"/>
      <c r="L12" s="17256"/>
      <c r="M12" s="17257"/>
      <c r="N12" s="17258"/>
      <c r="O12" s="17259"/>
      <c r="P12" s="17260"/>
      <c r="Q12" s="17261"/>
      <c r="R12" s="17262"/>
      <c r="S12" s="17263"/>
      <c r="T12" s="17264"/>
    </row>
    <row r="13">
      <c r="A13" s="17265" t="s">
        <v>92</v>
      </c>
      <c r="B13" s="17266">
        <v>0</v>
      </c>
      <c r="C13" s="17267">
        <v>933</v>
      </c>
      <c r="D13" s="17268"/>
      <c r="E13" s="17269"/>
      <c r="F13" s="17270"/>
      <c r="G13" s="17271"/>
      <c r="H13" s="17272"/>
      <c r="I13" s="17273"/>
      <c r="J13" s="17274"/>
      <c r="K13" s="17275"/>
      <c r="L13" s="17276"/>
      <c r="M13" s="17277"/>
      <c r="N13" s="17278"/>
      <c r="O13" s="17279"/>
      <c r="P13" s="17280"/>
      <c r="Q13" s="17281"/>
      <c r="R13" s="17282"/>
      <c r="S13" s="17283"/>
      <c r="T13" s="17284"/>
    </row>
    <row r="14">
      <c r="A14" s="17285" t="s">
        <v>93</v>
      </c>
      <c r="B14" s="17286">
        <v>0</v>
      </c>
      <c r="C14" s="17287">
        <v>854</v>
      </c>
      <c r="D14" s="17288"/>
      <c r="E14" s="17289"/>
      <c r="F14" s="17290"/>
      <c r="G14" s="17291"/>
      <c r="H14" s="17292"/>
      <c r="I14" s="17293"/>
      <c r="J14" s="17294"/>
      <c r="K14" s="17295"/>
      <c r="L14" s="17296"/>
      <c r="M14" s="17297"/>
      <c r="N14" s="17298"/>
      <c r="O14" s="17299"/>
      <c r="P14" s="17300"/>
      <c r="Q14" s="17301"/>
      <c r="R14" s="17302"/>
      <c r="S14" s="17303"/>
      <c r="T14" s="17304"/>
    </row>
    <row r="15">
      <c r="A15" s="17305" t="s">
        <v>94</v>
      </c>
      <c r="B15" s="17306">
        <v>0</v>
      </c>
      <c r="C15" s="17307">
        <v>730</v>
      </c>
      <c r="D15" s="17308"/>
      <c r="E15" s="17309"/>
      <c r="F15" s="17310"/>
      <c r="G15" s="17311"/>
      <c r="H15" s="17312"/>
      <c r="I15" s="17313"/>
      <c r="J15" s="17314"/>
      <c r="K15" s="17315"/>
      <c r="L15" s="17316"/>
      <c r="M15" s="17317"/>
      <c r="N15" s="17318"/>
      <c r="O15" s="17319"/>
      <c r="P15" s="17320"/>
      <c r="Q15" s="17321"/>
      <c r="R15" s="17322"/>
      <c r="S15" s="17323"/>
      <c r="T15" s="17324"/>
    </row>
    <row r="16">
      <c r="A16" s="17325" t="s">
        <v>95</v>
      </c>
      <c r="B16" s="17326">
        <v>0</v>
      </c>
      <c r="C16" s="17327">
        <v>809</v>
      </c>
      <c r="D16" s="17328"/>
      <c r="E16" s="17329"/>
      <c r="F16" s="17330"/>
      <c r="G16" s="17331"/>
      <c r="H16" s="17332"/>
      <c r="I16" s="17333"/>
      <c r="J16" s="17334"/>
      <c r="K16" s="17335"/>
      <c r="L16" s="17336"/>
      <c r="M16" s="17337"/>
      <c r="N16" s="17338"/>
      <c r="O16" s="17339"/>
      <c r="P16" s="17340"/>
      <c r="Q16" s="17341"/>
      <c r="R16" s="17342"/>
      <c r="S16" s="17343"/>
      <c r="T16" s="17344"/>
    </row>
    <row r="17">
      <c r="A17" s="17345" t="s">
        <v>96</v>
      </c>
      <c r="B17" s="17346">
        <v>0</v>
      </c>
      <c r="C17" s="17347">
        <v>870</v>
      </c>
      <c r="D17" s="17348"/>
      <c r="E17" s="17349"/>
      <c r="F17" s="17350"/>
      <c r="G17" s="17351"/>
      <c r="H17" s="17352"/>
      <c r="I17" s="17353"/>
      <c r="J17" s="17354"/>
      <c r="K17" s="17355"/>
      <c r="L17" s="17356"/>
      <c r="M17" s="17357"/>
      <c r="N17" s="17358"/>
      <c r="O17" s="17359"/>
      <c r="P17" s="17360"/>
      <c r="Q17" s="17361"/>
      <c r="R17" s="17362"/>
      <c r="S17" s="17363"/>
      <c r="T17" s="17364"/>
    </row>
    <row r="18">
      <c r="A18" s="17365" t="s">
        <v>97</v>
      </c>
      <c r="B18" s="17366">
        <v>0</v>
      </c>
      <c r="C18" s="17367">
        <v>10355</v>
      </c>
      <c r="D18" s="17368"/>
      <c r="E18" s="17369"/>
      <c r="F18" s="17370"/>
      <c r="G18" s="17371"/>
      <c r="H18" s="17372"/>
      <c r="I18" s="17373"/>
      <c r="J18" s="17374"/>
      <c r="K18" s="17375"/>
      <c r="L18" s="17376"/>
      <c r="M18" s="17377"/>
      <c r="N18" s="17378"/>
      <c r="O18" s="17379"/>
      <c r="P18" s="17380"/>
      <c r="Q18" s="17381"/>
      <c r="R18" s="17382"/>
      <c r="S18" s="17383"/>
      <c r="T18" s="17384"/>
    </row>
    <row r="19">
      <c r="A19" s="17385" t="s">
        <v>98</v>
      </c>
      <c r="B19" s="17386"/>
      <c r="C19" s="17387"/>
      <c r="D19" s="17388"/>
      <c r="E19" s="17389"/>
      <c r="F19" s="17390"/>
      <c r="G19" s="17391"/>
      <c r="H19" s="17392"/>
      <c r="I19" s="17393"/>
      <c r="J19" s="17394"/>
      <c r="K19" s="17395"/>
      <c r="L19" s="17396"/>
      <c r="M19" s="17397"/>
      <c r="N19" s="17398"/>
      <c r="O19" s="17399"/>
      <c r="P19" s="17400"/>
      <c r="Q19" s="17401"/>
      <c r="R19" s="17402"/>
      <c r="S19" s="17403"/>
      <c r="T19" s="17404"/>
    </row>
    <row r="20">
      <c r="A20" s="17405" t="s">
        <v>137</v>
      </c>
      <c r="B20" s="17406"/>
      <c r="C20" s="17407"/>
      <c r="D20" s="17408"/>
      <c r="E20" s="17409"/>
      <c r="F20" s="17410"/>
      <c r="G20" s="17411"/>
      <c r="H20" s="17412"/>
      <c r="I20" s="17413"/>
      <c r="J20" s="17414"/>
      <c r="K20" s="17415"/>
      <c r="L20" s="17416"/>
      <c r="M20" s="17417"/>
      <c r="N20" s="17418"/>
      <c r="O20" s="17419"/>
      <c r="P20" s="17420"/>
      <c r="Q20" s="17421"/>
      <c r="R20" s="17422"/>
      <c r="S20" s="17423"/>
      <c r="T20" s="17424"/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6" width="15.453125" style="17425" customWidth="true"/>
  </cols>
  <sheetData>
    <row r="1">
      <c r="A1" s="17426" t="s">
        <v>138</v>
      </c>
      <c r="B1" s="17427"/>
      <c r="C1" s="17428"/>
      <c r="D1" s="17429"/>
      <c r="E1" s="17430"/>
      <c r="F1" s="17431"/>
      <c r="G1" s="17432"/>
      <c r="H1" s="17433"/>
      <c r="I1" s="17434"/>
      <c r="J1" s="17435"/>
      <c r="K1" s="17436"/>
      <c r="L1" s="17437"/>
      <c r="M1" s="17438"/>
      <c r="N1" s="17439"/>
      <c r="O1" s="17440"/>
      <c r="P1" s="17441"/>
      <c r="Q1" s="17442"/>
      <c r="R1" s="17443"/>
      <c r="S1" s="17444"/>
      <c r="T1" s="17445"/>
    </row>
    <row r="2">
      <c r="A2" s="17446"/>
      <c r="B2" s="17447" t="s">
        <v>79</v>
      </c>
      <c r="C2" s="17448" t="s">
        <v>80</v>
      </c>
      <c r="D2" s="17449"/>
      <c r="E2" s="17450"/>
      <c r="F2" s="17451"/>
      <c r="G2" s="17452"/>
      <c r="H2" s="17453"/>
      <c r="I2" s="17454"/>
      <c r="J2" s="17455"/>
      <c r="K2" s="17456"/>
      <c r="L2" s="17457"/>
      <c r="M2" s="17458"/>
      <c r="N2" s="17459"/>
      <c r="O2" s="17460"/>
      <c r="P2" s="17461"/>
      <c r="Q2" s="17462"/>
      <c r="R2" s="17463"/>
      <c r="S2" s="17464"/>
      <c r="T2" s="17465"/>
    </row>
    <row r="3">
      <c r="A3" s="17466" t="s">
        <v>82</v>
      </c>
      <c r="B3" s="17467"/>
      <c r="C3" s="17468"/>
      <c r="D3" s="17469"/>
      <c r="E3" s="17470"/>
      <c r="F3" s="17471"/>
      <c r="G3" s="17472"/>
      <c r="H3" s="17473"/>
      <c r="I3" s="17474"/>
      <c r="J3" s="17475"/>
      <c r="K3" s="17476"/>
      <c r="L3" s="17477"/>
      <c r="M3" s="17478"/>
      <c r="N3" s="17479"/>
      <c r="O3" s="17480"/>
      <c r="P3" s="17481"/>
      <c r="Q3" s="17482"/>
      <c r="R3" s="17483"/>
      <c r="S3" s="17484"/>
      <c r="T3" s="17485"/>
    </row>
    <row r="4">
      <c r="A4" s="17486" t="s">
        <v>83</v>
      </c>
      <c r="B4" s="17487">
        <v>0</v>
      </c>
      <c r="C4" s="17488">
        <v>555</v>
      </c>
      <c r="D4" s="17489"/>
      <c r="E4" s="17490"/>
      <c r="F4" s="17491"/>
      <c r="G4" s="17492"/>
      <c r="H4" s="17493"/>
      <c r="I4" s="17494"/>
      <c r="J4" s="17495"/>
      <c r="K4" s="17496"/>
      <c r="L4" s="17497"/>
      <c r="M4" s="17498"/>
      <c r="N4" s="17499"/>
      <c r="O4" s="17500"/>
      <c r="P4" s="17501"/>
      <c r="Q4" s="17502"/>
      <c r="R4" s="17503"/>
      <c r="S4" s="17504"/>
      <c r="T4" s="17505"/>
    </row>
    <row r="5">
      <c r="A5" s="17506" t="s">
        <v>84</v>
      </c>
      <c r="B5" s="17507">
        <v>0</v>
      </c>
      <c r="C5" s="17508">
        <v>504</v>
      </c>
      <c r="D5" s="17509"/>
      <c r="E5" s="17510"/>
      <c r="F5" s="17511"/>
      <c r="G5" s="17512"/>
      <c r="H5" s="17513"/>
      <c r="I5" s="17514"/>
      <c r="J5" s="17515"/>
      <c r="K5" s="17516"/>
      <c r="L5" s="17517"/>
      <c r="M5" s="17518"/>
      <c r="N5" s="17519"/>
      <c r="O5" s="17520"/>
      <c r="P5" s="17521"/>
      <c r="Q5" s="17522"/>
      <c r="R5" s="17523"/>
      <c r="S5" s="17524"/>
      <c r="T5" s="17525"/>
    </row>
    <row r="6">
      <c r="A6" s="17526" t="s">
        <v>85</v>
      </c>
      <c r="B6" s="17527">
        <v>0</v>
      </c>
      <c r="C6" s="17528">
        <v>584</v>
      </c>
      <c r="D6" s="17529"/>
      <c r="E6" s="17530"/>
      <c r="F6" s="17531"/>
      <c r="G6" s="17532"/>
      <c r="H6" s="17533"/>
      <c r="I6" s="17534"/>
      <c r="J6" s="17535"/>
      <c r="K6" s="17536"/>
      <c r="L6" s="17537"/>
      <c r="M6" s="17538"/>
      <c r="N6" s="17539"/>
      <c r="O6" s="17540"/>
      <c r="P6" s="17541"/>
      <c r="Q6" s="17542"/>
      <c r="R6" s="17543"/>
      <c r="S6" s="17544"/>
      <c r="T6" s="17545"/>
    </row>
    <row r="7">
      <c r="A7" s="17546" t="s">
        <v>86</v>
      </c>
      <c r="B7" s="17547">
        <v>0</v>
      </c>
      <c r="C7" s="17548">
        <v>697</v>
      </c>
      <c r="D7" s="17549"/>
      <c r="E7" s="17550"/>
      <c r="F7" s="17551"/>
      <c r="G7" s="17552"/>
      <c r="H7" s="17553"/>
      <c r="I7" s="17554"/>
      <c r="J7" s="17555"/>
      <c r="K7" s="17556"/>
      <c r="L7" s="17557"/>
      <c r="M7" s="17558"/>
      <c r="N7" s="17559"/>
      <c r="O7" s="17560"/>
      <c r="P7" s="17561"/>
      <c r="Q7" s="17562"/>
      <c r="R7" s="17563"/>
      <c r="S7" s="17564"/>
      <c r="T7" s="17565"/>
    </row>
    <row r="8">
      <c r="A8" s="17566" t="s">
        <v>87</v>
      </c>
      <c r="B8" s="17567">
        <v>0</v>
      </c>
      <c r="C8" s="17568">
        <v>715</v>
      </c>
      <c r="D8" s="17569"/>
      <c r="E8" s="17570"/>
      <c r="F8" s="17571"/>
      <c r="G8" s="17572"/>
      <c r="H8" s="17573"/>
      <c r="I8" s="17574"/>
      <c r="J8" s="17575"/>
      <c r="K8" s="17576"/>
      <c r="L8" s="17577"/>
      <c r="M8" s="17578"/>
      <c r="N8" s="17579"/>
      <c r="O8" s="17580"/>
      <c r="P8" s="17581"/>
      <c r="Q8" s="17582"/>
      <c r="R8" s="17583"/>
      <c r="S8" s="17584"/>
      <c r="T8" s="17585"/>
    </row>
    <row r="9">
      <c r="A9" s="17586" t="s">
        <v>88</v>
      </c>
      <c r="B9" s="17587">
        <v>0</v>
      </c>
      <c r="C9" s="17588">
        <v>695</v>
      </c>
      <c r="D9" s="17589"/>
      <c r="E9" s="17590"/>
      <c r="F9" s="17591"/>
      <c r="G9" s="17592"/>
      <c r="H9" s="17593"/>
      <c r="I9" s="17594"/>
      <c r="J9" s="17595"/>
      <c r="K9" s="17596"/>
      <c r="L9" s="17597"/>
      <c r="M9" s="17598"/>
      <c r="N9" s="17599"/>
      <c r="O9" s="17600"/>
      <c r="P9" s="17601"/>
      <c r="Q9" s="17602"/>
      <c r="R9" s="17603"/>
      <c r="S9" s="17604"/>
      <c r="T9" s="17605"/>
    </row>
    <row r="10">
      <c r="A10" s="17606" t="s">
        <v>89</v>
      </c>
      <c r="B10" s="17607">
        <v>0</v>
      </c>
      <c r="C10" s="17608">
        <v>780</v>
      </c>
      <c r="D10" s="17609"/>
      <c r="E10" s="17610"/>
      <c r="F10" s="17611"/>
      <c r="G10" s="17612"/>
      <c r="H10" s="17613"/>
      <c r="I10" s="17614"/>
      <c r="J10" s="17615"/>
      <c r="K10" s="17616"/>
      <c r="L10" s="17617"/>
      <c r="M10" s="17618"/>
      <c r="N10" s="17619"/>
      <c r="O10" s="17620"/>
      <c r="P10" s="17621"/>
      <c r="Q10" s="17622"/>
      <c r="R10" s="17623"/>
      <c r="S10" s="17624"/>
      <c r="T10" s="17625"/>
    </row>
    <row r="11">
      <c r="A11" s="17626" t="s">
        <v>90</v>
      </c>
      <c r="B11" s="17627">
        <v>0</v>
      </c>
      <c r="C11" s="17628">
        <v>822</v>
      </c>
      <c r="D11" s="17629"/>
      <c r="E11" s="17630"/>
      <c r="F11" s="17631"/>
      <c r="G11" s="17632"/>
      <c r="H11" s="17633"/>
      <c r="I11" s="17634"/>
      <c r="J11" s="17635"/>
      <c r="K11" s="17636"/>
      <c r="L11" s="17637"/>
      <c r="M11" s="17638"/>
      <c r="N11" s="17639"/>
      <c r="O11" s="17640"/>
      <c r="P11" s="17641"/>
      <c r="Q11" s="17642"/>
      <c r="R11" s="17643"/>
      <c r="S11" s="17644"/>
      <c r="T11" s="17645"/>
    </row>
    <row r="12">
      <c r="A12" s="17646" t="s">
        <v>91</v>
      </c>
      <c r="B12" s="17647">
        <v>0</v>
      </c>
      <c r="C12" s="17648">
        <v>807</v>
      </c>
      <c r="D12" s="17649"/>
      <c r="E12" s="17650"/>
      <c r="F12" s="17651"/>
      <c r="G12" s="17652"/>
      <c r="H12" s="17653"/>
      <c r="I12" s="17654"/>
      <c r="J12" s="17655"/>
      <c r="K12" s="17656"/>
      <c r="L12" s="17657"/>
      <c r="M12" s="17658"/>
      <c r="N12" s="17659"/>
      <c r="O12" s="17660"/>
      <c r="P12" s="17661"/>
      <c r="Q12" s="17662"/>
      <c r="R12" s="17663"/>
      <c r="S12" s="17664"/>
      <c r="T12" s="17665"/>
    </row>
    <row r="13">
      <c r="A13" s="17666" t="s">
        <v>92</v>
      </c>
      <c r="B13" s="17667">
        <v>0</v>
      </c>
      <c r="C13" s="17668">
        <v>933</v>
      </c>
      <c r="D13" s="17669"/>
      <c r="E13" s="17670"/>
      <c r="F13" s="17671"/>
      <c r="G13" s="17672"/>
      <c r="H13" s="17673"/>
      <c r="I13" s="17674"/>
      <c r="J13" s="17675"/>
      <c r="K13" s="17676"/>
      <c r="L13" s="17677"/>
      <c r="M13" s="17678"/>
      <c r="N13" s="17679"/>
      <c r="O13" s="17680"/>
      <c r="P13" s="17681"/>
      <c r="Q13" s="17682"/>
      <c r="R13" s="17683"/>
      <c r="S13" s="17684"/>
      <c r="T13" s="17685"/>
    </row>
    <row r="14">
      <c r="A14" s="17686" t="s">
        <v>93</v>
      </c>
      <c r="B14" s="17687">
        <v>0</v>
      </c>
      <c r="C14" s="17688">
        <v>854</v>
      </c>
      <c r="D14" s="17689"/>
      <c r="E14" s="17690"/>
      <c r="F14" s="17691"/>
      <c r="G14" s="17692"/>
      <c r="H14" s="17693"/>
      <c r="I14" s="17694"/>
      <c r="J14" s="17695"/>
      <c r="K14" s="17696"/>
      <c r="L14" s="17697"/>
      <c r="M14" s="17698"/>
      <c r="N14" s="17699"/>
      <c r="O14" s="17700"/>
      <c r="P14" s="17701"/>
      <c r="Q14" s="17702"/>
      <c r="R14" s="17703"/>
      <c r="S14" s="17704"/>
      <c r="T14" s="17705"/>
    </row>
    <row r="15">
      <c r="A15" s="17706" t="s">
        <v>94</v>
      </c>
      <c r="B15" s="17707">
        <v>0</v>
      </c>
      <c r="C15" s="17708">
        <v>730</v>
      </c>
      <c r="D15" s="17709"/>
      <c r="E15" s="17710"/>
      <c r="F15" s="17711"/>
      <c r="G15" s="17712"/>
      <c r="H15" s="17713"/>
      <c r="I15" s="17714"/>
      <c r="J15" s="17715"/>
      <c r="K15" s="17716"/>
      <c r="L15" s="17717"/>
      <c r="M15" s="17718"/>
      <c r="N15" s="17719"/>
      <c r="O15" s="17720"/>
      <c r="P15" s="17721"/>
      <c r="Q15" s="17722"/>
      <c r="R15" s="17723"/>
      <c r="S15" s="17724"/>
      <c r="T15" s="17725"/>
    </row>
    <row r="16">
      <c r="A16" s="17726" t="s">
        <v>95</v>
      </c>
      <c r="B16" s="17727">
        <v>0</v>
      </c>
      <c r="C16" s="17728">
        <v>809</v>
      </c>
      <c r="D16" s="17729"/>
      <c r="E16" s="17730"/>
      <c r="F16" s="17731"/>
      <c r="G16" s="17732"/>
      <c r="H16" s="17733"/>
      <c r="I16" s="17734"/>
      <c r="J16" s="17735"/>
      <c r="K16" s="17736"/>
      <c r="L16" s="17737"/>
      <c r="M16" s="17738"/>
      <c r="N16" s="17739"/>
      <c r="O16" s="17740"/>
      <c r="P16" s="17741"/>
      <c r="Q16" s="17742"/>
      <c r="R16" s="17743"/>
      <c r="S16" s="17744"/>
      <c r="T16" s="17745"/>
    </row>
    <row r="17">
      <c r="A17" s="17746" t="s">
        <v>96</v>
      </c>
      <c r="B17" s="17747">
        <v>0</v>
      </c>
      <c r="C17" s="17748">
        <v>870</v>
      </c>
      <c r="D17" s="17749"/>
      <c r="E17" s="17750"/>
      <c r="F17" s="17751"/>
      <c r="G17" s="17752"/>
      <c r="H17" s="17753"/>
      <c r="I17" s="17754"/>
      <c r="J17" s="17755"/>
      <c r="K17" s="17756"/>
      <c r="L17" s="17757"/>
      <c r="M17" s="17758"/>
      <c r="N17" s="17759"/>
      <c r="O17" s="17760"/>
      <c r="P17" s="17761"/>
      <c r="Q17" s="17762"/>
      <c r="R17" s="17763"/>
      <c r="S17" s="17764"/>
      <c r="T17" s="17765"/>
    </row>
    <row r="18">
      <c r="A18" s="17766" t="s">
        <v>97</v>
      </c>
      <c r="B18" s="17767">
        <v>0</v>
      </c>
      <c r="C18" s="17768">
        <v>10355</v>
      </c>
      <c r="D18" s="17769"/>
      <c r="E18" s="17770"/>
      <c r="F18" s="17771"/>
      <c r="G18" s="17772"/>
      <c r="H18" s="17773"/>
      <c r="I18" s="17774"/>
      <c r="J18" s="17775"/>
      <c r="K18" s="17776"/>
      <c r="L18" s="17777"/>
      <c r="M18" s="17778"/>
      <c r="N18" s="17779"/>
      <c r="O18" s="17780"/>
      <c r="P18" s="17781"/>
      <c r="Q18" s="17782"/>
      <c r="R18" s="17783"/>
      <c r="S18" s="17784"/>
      <c r="T18" s="17785"/>
    </row>
    <row r="19">
      <c r="A19" s="17786" t="s">
        <v>98</v>
      </c>
      <c r="B19" s="17787"/>
      <c r="C19" s="17788"/>
      <c r="D19" s="17789"/>
      <c r="E19" s="17790"/>
      <c r="F19" s="17791"/>
      <c r="G19" s="17792"/>
      <c r="H19" s="17793"/>
      <c r="I19" s="17794"/>
      <c r="J19" s="17795"/>
      <c r="K19" s="17796"/>
      <c r="L19" s="17797"/>
      <c r="M19" s="17798"/>
      <c r="N19" s="17799"/>
      <c r="O19" s="17800"/>
      <c r="P19" s="17801"/>
      <c r="Q19" s="17802"/>
      <c r="R19" s="17803"/>
      <c r="S19" s="17804"/>
      <c r="T19" s="17805"/>
    </row>
    <row r="20">
      <c r="A20" s="17806" t="s">
        <v>137</v>
      </c>
      <c r="B20" s="17807"/>
      <c r="C20" s="17808"/>
      <c r="D20" s="17809"/>
      <c r="E20" s="17810"/>
      <c r="F20" s="17811"/>
      <c r="G20" s="17812"/>
      <c r="H20" s="17813"/>
      <c r="I20" s="17814"/>
      <c r="J20" s="17815"/>
      <c r="K20" s="17816"/>
      <c r="L20" s="17817"/>
      <c r="M20" s="17818"/>
      <c r="N20" s="17819"/>
      <c r="O20" s="17820"/>
      <c r="P20" s="17821"/>
      <c r="Q20" s="17822"/>
      <c r="R20" s="17823"/>
      <c r="S20" s="17824"/>
      <c r="T20" s="17825"/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6" width="15.453125" style="17826" customWidth="true"/>
  </cols>
  <sheetData>
    <row r="1">
      <c r="A1" s="17827" t="s">
        <v>139</v>
      </c>
      <c r="B1" s="17828"/>
      <c r="C1" s="17829"/>
      <c r="D1" s="17830"/>
      <c r="E1" s="17831"/>
      <c r="F1" s="17832"/>
      <c r="G1" s="17833"/>
      <c r="H1" s="17834"/>
      <c r="I1" s="17835"/>
      <c r="J1" s="17836"/>
      <c r="K1" s="17837"/>
      <c r="L1" s="17838"/>
      <c r="M1" s="17839"/>
      <c r="N1" s="17840"/>
      <c r="O1" s="17841"/>
      <c r="P1" s="17842"/>
      <c r="Q1" s="17843"/>
      <c r="R1" s="17844"/>
      <c r="S1" s="17845"/>
      <c r="T1" s="17846"/>
    </row>
    <row r="2">
      <c r="A2" s="17847"/>
      <c r="B2" s="17848" t="s">
        <v>79</v>
      </c>
      <c r="C2" s="17849" t="s">
        <v>80</v>
      </c>
      <c r="D2" s="17850"/>
      <c r="E2" s="17851"/>
      <c r="F2" s="17852"/>
      <c r="G2" s="17853"/>
      <c r="H2" s="17854"/>
      <c r="I2" s="17855"/>
      <c r="J2" s="17856"/>
      <c r="K2" s="17857"/>
      <c r="L2" s="17858"/>
      <c r="M2" s="17859"/>
      <c r="N2" s="17860"/>
      <c r="O2" s="17861"/>
      <c r="P2" s="17862"/>
      <c r="Q2" s="17863"/>
      <c r="R2" s="17864"/>
      <c r="S2" s="17865"/>
      <c r="T2" s="17866"/>
    </row>
    <row r="3">
      <c r="A3" s="17867" t="s">
        <v>82</v>
      </c>
      <c r="B3" s="17868"/>
      <c r="C3" s="17869"/>
      <c r="D3" s="17870"/>
      <c r="E3" s="17871"/>
      <c r="F3" s="17872"/>
      <c r="G3" s="17873"/>
      <c r="H3" s="17874"/>
      <c r="I3" s="17875"/>
      <c r="J3" s="17876"/>
      <c r="K3" s="17877"/>
      <c r="L3" s="17878"/>
      <c r="M3" s="17879"/>
      <c r="N3" s="17880"/>
      <c r="O3" s="17881"/>
      <c r="P3" s="17882"/>
      <c r="Q3" s="17883"/>
      <c r="R3" s="17884"/>
      <c r="S3" s="17885"/>
      <c r="T3" s="17886"/>
    </row>
    <row r="4">
      <c r="A4" s="17887" t="s">
        <v>83</v>
      </c>
      <c r="B4" s="17888">
        <v>0</v>
      </c>
      <c r="C4" s="17889">
        <v>555</v>
      </c>
      <c r="D4" s="17890"/>
      <c r="E4" s="17891"/>
      <c r="F4" s="17892"/>
      <c r="G4" s="17893"/>
      <c r="H4" s="17894"/>
      <c r="I4" s="17895"/>
      <c r="J4" s="17896"/>
      <c r="K4" s="17897"/>
      <c r="L4" s="17898"/>
      <c r="M4" s="17899"/>
      <c r="N4" s="17900"/>
      <c r="O4" s="17901"/>
      <c r="P4" s="17902"/>
      <c r="Q4" s="17903"/>
      <c r="R4" s="17904"/>
      <c r="S4" s="17905"/>
      <c r="T4" s="17906"/>
    </row>
    <row r="5">
      <c r="A5" s="17907" t="s">
        <v>84</v>
      </c>
      <c r="B5" s="17908">
        <v>0</v>
      </c>
      <c r="C5" s="17909">
        <v>504</v>
      </c>
      <c r="D5" s="17910"/>
      <c r="E5" s="17911"/>
      <c r="F5" s="17912"/>
      <c r="G5" s="17913"/>
      <c r="H5" s="17914"/>
      <c r="I5" s="17915"/>
      <c r="J5" s="17916"/>
      <c r="K5" s="17917"/>
      <c r="L5" s="17918"/>
      <c r="M5" s="17919"/>
      <c r="N5" s="17920"/>
      <c r="O5" s="17921"/>
      <c r="P5" s="17922"/>
      <c r="Q5" s="17923"/>
      <c r="R5" s="17924"/>
      <c r="S5" s="17925"/>
      <c r="T5" s="17926"/>
    </row>
    <row r="6">
      <c r="A6" s="17927" t="s">
        <v>85</v>
      </c>
      <c r="B6" s="17928">
        <v>0</v>
      </c>
      <c r="C6" s="17929">
        <v>584</v>
      </c>
      <c r="D6" s="17930"/>
      <c r="E6" s="17931"/>
      <c r="F6" s="17932"/>
      <c r="G6" s="17933"/>
      <c r="H6" s="17934"/>
      <c r="I6" s="17935"/>
      <c r="J6" s="17936"/>
      <c r="K6" s="17937"/>
      <c r="L6" s="17938"/>
      <c r="M6" s="17939"/>
      <c r="N6" s="17940"/>
      <c r="O6" s="17941"/>
      <c r="P6" s="17942"/>
      <c r="Q6" s="17943"/>
      <c r="R6" s="17944"/>
      <c r="S6" s="17945"/>
      <c r="T6" s="17946"/>
    </row>
    <row r="7">
      <c r="A7" s="17947" t="s">
        <v>86</v>
      </c>
      <c r="B7" s="17948">
        <v>0</v>
      </c>
      <c r="C7" s="17949">
        <v>697</v>
      </c>
      <c r="D7" s="17950"/>
      <c r="E7" s="17951"/>
      <c r="F7" s="17952"/>
      <c r="G7" s="17953"/>
      <c r="H7" s="17954"/>
      <c r="I7" s="17955"/>
      <c r="J7" s="17956"/>
      <c r="K7" s="17957"/>
      <c r="L7" s="17958"/>
      <c r="M7" s="17959"/>
      <c r="N7" s="17960"/>
      <c r="O7" s="17961"/>
      <c r="P7" s="17962"/>
      <c r="Q7" s="17963"/>
      <c r="R7" s="17964"/>
      <c r="S7" s="17965"/>
      <c r="T7" s="17966"/>
    </row>
    <row r="8">
      <c r="A8" s="17967" t="s">
        <v>87</v>
      </c>
      <c r="B8" s="17968">
        <v>0</v>
      </c>
      <c r="C8" s="17969">
        <v>715</v>
      </c>
      <c r="D8" s="17970"/>
      <c r="E8" s="17971"/>
      <c r="F8" s="17972"/>
      <c r="G8" s="17973"/>
      <c r="H8" s="17974"/>
      <c r="I8" s="17975"/>
      <c r="J8" s="17976"/>
      <c r="K8" s="17977"/>
      <c r="L8" s="17978"/>
      <c r="M8" s="17979"/>
      <c r="N8" s="17980"/>
      <c r="O8" s="17981"/>
      <c r="P8" s="17982"/>
      <c r="Q8" s="17983"/>
      <c r="R8" s="17984"/>
      <c r="S8" s="17985"/>
      <c r="T8" s="17986"/>
    </row>
    <row r="9">
      <c r="A9" s="17987" t="s">
        <v>88</v>
      </c>
      <c r="B9" s="17988">
        <v>0</v>
      </c>
      <c r="C9" s="17989">
        <v>695</v>
      </c>
      <c r="D9" s="17990"/>
      <c r="E9" s="17991"/>
      <c r="F9" s="17992"/>
      <c r="G9" s="17993"/>
      <c r="H9" s="17994"/>
      <c r="I9" s="17995"/>
      <c r="J9" s="17996"/>
      <c r="K9" s="17997"/>
      <c r="L9" s="17998"/>
      <c r="M9" s="17999"/>
      <c r="N9" s="18000"/>
      <c r="O9" s="18001"/>
      <c r="P9" s="18002"/>
      <c r="Q9" s="18003"/>
      <c r="R9" s="18004"/>
      <c r="S9" s="18005"/>
      <c r="T9" s="18006"/>
    </row>
    <row r="10">
      <c r="A10" s="18007" t="s">
        <v>89</v>
      </c>
      <c r="B10" s="18008">
        <v>0</v>
      </c>
      <c r="C10" s="18009">
        <v>780</v>
      </c>
      <c r="D10" s="18010"/>
      <c r="E10" s="18011"/>
      <c r="F10" s="18012"/>
      <c r="G10" s="18013"/>
      <c r="H10" s="18014"/>
      <c r="I10" s="18015"/>
      <c r="J10" s="18016"/>
      <c r="K10" s="18017"/>
      <c r="L10" s="18018"/>
      <c r="M10" s="18019"/>
      <c r="N10" s="18020"/>
      <c r="O10" s="18021"/>
      <c r="P10" s="18022"/>
      <c r="Q10" s="18023"/>
      <c r="R10" s="18024"/>
      <c r="S10" s="18025"/>
      <c r="T10" s="18026"/>
    </row>
    <row r="11">
      <c r="A11" s="18027" t="s">
        <v>90</v>
      </c>
      <c r="B11" s="18028">
        <v>0</v>
      </c>
      <c r="C11" s="18029">
        <v>822</v>
      </c>
      <c r="D11" s="18030"/>
      <c r="E11" s="18031"/>
      <c r="F11" s="18032"/>
      <c r="G11" s="18033"/>
      <c r="H11" s="18034"/>
      <c r="I11" s="18035"/>
      <c r="J11" s="18036"/>
      <c r="K11" s="18037"/>
      <c r="L11" s="18038"/>
      <c r="M11" s="18039"/>
      <c r="N11" s="18040"/>
      <c r="O11" s="18041"/>
      <c r="P11" s="18042"/>
      <c r="Q11" s="18043"/>
      <c r="R11" s="18044"/>
      <c r="S11" s="18045"/>
      <c r="T11" s="18046"/>
    </row>
    <row r="12">
      <c r="A12" s="18047" t="s">
        <v>91</v>
      </c>
      <c r="B12" s="18048">
        <v>0</v>
      </c>
      <c r="C12" s="18049">
        <v>807</v>
      </c>
      <c r="D12" s="18050"/>
      <c r="E12" s="18051"/>
      <c r="F12" s="18052"/>
      <c r="G12" s="18053"/>
      <c r="H12" s="18054"/>
      <c r="I12" s="18055"/>
      <c r="J12" s="18056"/>
      <c r="K12" s="18057"/>
      <c r="L12" s="18058"/>
      <c r="M12" s="18059"/>
      <c r="N12" s="18060"/>
      <c r="O12" s="18061"/>
      <c r="P12" s="18062"/>
      <c r="Q12" s="18063"/>
      <c r="R12" s="18064"/>
      <c r="S12" s="18065"/>
      <c r="T12" s="18066"/>
    </row>
    <row r="13">
      <c r="A13" s="18067" t="s">
        <v>92</v>
      </c>
      <c r="B13" s="18068">
        <v>0</v>
      </c>
      <c r="C13" s="18069">
        <v>933</v>
      </c>
      <c r="D13" s="18070"/>
      <c r="E13" s="18071"/>
      <c r="F13" s="18072"/>
      <c r="G13" s="18073"/>
      <c r="H13" s="18074"/>
      <c r="I13" s="18075"/>
      <c r="J13" s="18076"/>
      <c r="K13" s="18077"/>
      <c r="L13" s="18078"/>
      <c r="M13" s="18079"/>
      <c r="N13" s="18080"/>
      <c r="O13" s="18081"/>
      <c r="P13" s="18082"/>
      <c r="Q13" s="18083"/>
      <c r="R13" s="18084"/>
      <c r="S13" s="18085"/>
      <c r="T13" s="18086"/>
    </row>
    <row r="14">
      <c r="A14" s="18087" t="s">
        <v>93</v>
      </c>
      <c r="B14" s="18088">
        <v>0</v>
      </c>
      <c r="C14" s="18089">
        <v>854</v>
      </c>
      <c r="D14" s="18090"/>
      <c r="E14" s="18091"/>
      <c r="F14" s="18092"/>
      <c r="G14" s="18093"/>
      <c r="H14" s="18094"/>
      <c r="I14" s="18095"/>
      <c r="J14" s="18096"/>
      <c r="K14" s="18097"/>
      <c r="L14" s="18098"/>
      <c r="M14" s="18099"/>
      <c r="N14" s="18100"/>
      <c r="O14" s="18101"/>
      <c r="P14" s="18102"/>
      <c r="Q14" s="18103"/>
      <c r="R14" s="18104"/>
      <c r="S14" s="18105"/>
      <c r="T14" s="18106"/>
    </row>
    <row r="15">
      <c r="A15" s="18107" t="s">
        <v>94</v>
      </c>
      <c r="B15" s="18108">
        <v>0</v>
      </c>
      <c r="C15" s="18109">
        <v>730</v>
      </c>
      <c r="D15" s="18110"/>
      <c r="E15" s="18111"/>
      <c r="F15" s="18112"/>
      <c r="G15" s="18113"/>
      <c r="H15" s="18114"/>
      <c r="I15" s="18115"/>
      <c r="J15" s="18116"/>
      <c r="K15" s="18117"/>
      <c r="L15" s="18118"/>
      <c r="M15" s="18119"/>
      <c r="N15" s="18120"/>
      <c r="O15" s="18121"/>
      <c r="P15" s="18122"/>
      <c r="Q15" s="18123"/>
      <c r="R15" s="18124"/>
      <c r="S15" s="18125"/>
      <c r="T15" s="18126"/>
    </row>
    <row r="16">
      <c r="A16" s="18127" t="s">
        <v>95</v>
      </c>
      <c r="B16" s="18128">
        <v>0</v>
      </c>
      <c r="C16" s="18129">
        <v>809</v>
      </c>
      <c r="D16" s="18130"/>
      <c r="E16" s="18131"/>
      <c r="F16" s="18132"/>
      <c r="G16" s="18133"/>
      <c r="H16" s="18134"/>
      <c r="I16" s="18135"/>
      <c r="J16" s="18136"/>
      <c r="K16" s="18137"/>
      <c r="L16" s="18138"/>
      <c r="M16" s="18139"/>
      <c r="N16" s="18140"/>
      <c r="O16" s="18141"/>
      <c r="P16" s="18142"/>
      <c r="Q16" s="18143"/>
      <c r="R16" s="18144"/>
      <c r="S16" s="18145"/>
      <c r="T16" s="18146"/>
    </row>
    <row r="17">
      <c r="A17" s="18147" t="s">
        <v>96</v>
      </c>
      <c r="B17" s="18148">
        <v>0</v>
      </c>
      <c r="C17" s="18149">
        <v>870</v>
      </c>
      <c r="D17" s="18150"/>
      <c r="E17" s="18151"/>
      <c r="F17" s="18152"/>
      <c r="G17" s="18153"/>
      <c r="H17" s="18154"/>
      <c r="I17" s="18155"/>
      <c r="J17" s="18156"/>
      <c r="K17" s="18157"/>
      <c r="L17" s="18158"/>
      <c r="M17" s="18159"/>
      <c r="N17" s="18160"/>
      <c r="O17" s="18161"/>
      <c r="P17" s="18162"/>
      <c r="Q17" s="18163"/>
      <c r="R17" s="18164"/>
      <c r="S17" s="18165"/>
      <c r="T17" s="18166"/>
    </row>
    <row r="18">
      <c r="A18" s="18167" t="s">
        <v>97</v>
      </c>
      <c r="B18" s="18168">
        <v>0</v>
      </c>
      <c r="C18" s="18169">
        <v>10355</v>
      </c>
      <c r="D18" s="18170"/>
      <c r="E18" s="18171"/>
      <c r="F18" s="18172"/>
      <c r="G18" s="18173"/>
      <c r="H18" s="18174"/>
      <c r="I18" s="18175"/>
      <c r="J18" s="18176"/>
      <c r="K18" s="18177"/>
      <c r="L18" s="18178"/>
      <c r="M18" s="18179"/>
      <c r="N18" s="18180"/>
      <c r="O18" s="18181"/>
      <c r="P18" s="18182"/>
      <c r="Q18" s="18183"/>
      <c r="R18" s="18184"/>
      <c r="S18" s="18185"/>
      <c r="T18" s="18186"/>
    </row>
    <row r="19">
      <c r="A19" s="18187" t="s">
        <v>98</v>
      </c>
      <c r="B19" s="18188"/>
      <c r="C19" s="18189"/>
      <c r="D19" s="18190"/>
      <c r="E19" s="18191"/>
      <c r="F19" s="18192"/>
      <c r="G19" s="18193"/>
      <c r="H19" s="18194"/>
      <c r="I19" s="18195"/>
      <c r="J19" s="18196"/>
      <c r="K19" s="18197"/>
      <c r="L19" s="18198"/>
      <c r="M19" s="18199"/>
      <c r="N19" s="18200"/>
      <c r="O19" s="18201"/>
      <c r="P19" s="18202"/>
      <c r="Q19" s="18203"/>
      <c r="R19" s="18204"/>
      <c r="S19" s="18205"/>
      <c r="T19" s="18206"/>
    </row>
    <row r="20">
      <c r="A20" s="18207" t="s">
        <v>137</v>
      </c>
      <c r="B20" s="18208"/>
      <c r="C20" s="18209"/>
      <c r="D20" s="18210"/>
      <c r="E20" s="18211"/>
      <c r="F20" s="18212"/>
      <c r="G20" s="18213"/>
      <c r="H20" s="18214"/>
      <c r="I20" s="18215"/>
      <c r="J20" s="18216"/>
      <c r="K20" s="18217"/>
      <c r="L20" s="18218"/>
      <c r="M20" s="18219"/>
      <c r="N20" s="18220"/>
      <c r="O20" s="18221"/>
      <c r="P20" s="18222"/>
      <c r="Q20" s="18223"/>
      <c r="R20" s="18224"/>
      <c r="S20" s="18225"/>
      <c r="T20" s="18226"/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6" width="15.453125" style="18227" customWidth="true"/>
  </cols>
  <sheetData>
    <row r="1">
      <c r="A1" s="18228" t="s">
        <v>140</v>
      </c>
      <c r="B1" s="18229"/>
      <c r="C1" s="18230"/>
      <c r="D1" s="18231"/>
      <c r="E1" s="18232"/>
      <c r="F1" s="18233"/>
      <c r="G1" s="18234"/>
      <c r="H1" s="18235"/>
      <c r="I1" s="18236"/>
      <c r="J1" s="18237"/>
      <c r="K1" s="18238"/>
      <c r="L1" s="18239"/>
      <c r="M1" s="18240"/>
      <c r="N1" s="18241"/>
      <c r="O1" s="18242"/>
      <c r="P1" s="18243"/>
      <c r="Q1" s="18244"/>
      <c r="R1" s="18245"/>
      <c r="S1" s="18246"/>
      <c r="T1" s="18247"/>
    </row>
    <row r="2">
      <c r="A2" s="18248"/>
      <c r="B2" s="18249" t="s">
        <v>79</v>
      </c>
      <c r="C2" s="18250" t="s">
        <v>80</v>
      </c>
      <c r="D2" s="18251"/>
      <c r="E2" s="18252"/>
      <c r="F2" s="18253"/>
      <c r="G2" s="18254"/>
      <c r="H2" s="18255"/>
      <c r="I2" s="18256"/>
      <c r="J2" s="18257"/>
      <c r="K2" s="18258"/>
      <c r="L2" s="18259"/>
      <c r="M2" s="18260"/>
      <c r="N2" s="18261"/>
      <c r="O2" s="18262"/>
      <c r="P2" s="18263"/>
      <c r="Q2" s="18264"/>
      <c r="R2" s="18265"/>
      <c r="S2" s="18266"/>
      <c r="T2" s="18267"/>
    </row>
    <row r="3">
      <c r="A3" s="18268" t="s">
        <v>82</v>
      </c>
      <c r="B3" s="18269"/>
      <c r="C3" s="18270"/>
      <c r="D3" s="18271"/>
      <c r="E3" s="18272"/>
      <c r="F3" s="18273"/>
      <c r="G3" s="18274"/>
      <c r="H3" s="18275"/>
      <c r="I3" s="18276"/>
      <c r="J3" s="18277"/>
      <c r="K3" s="18278"/>
      <c r="L3" s="18279"/>
      <c r="M3" s="18280"/>
      <c r="N3" s="18281"/>
      <c r="O3" s="18282"/>
      <c r="P3" s="18283"/>
      <c r="Q3" s="18284"/>
      <c r="R3" s="18285"/>
      <c r="S3" s="18286"/>
      <c r="T3" s="18287"/>
    </row>
    <row r="4">
      <c r="A4" s="18288" t="s">
        <v>83</v>
      </c>
      <c r="B4" s="18289">
        <v>0</v>
      </c>
      <c r="C4" s="18290">
        <v>555</v>
      </c>
      <c r="D4" s="18291"/>
      <c r="E4" s="18292"/>
      <c r="F4" s="18293"/>
      <c r="G4" s="18294"/>
      <c r="H4" s="18295"/>
      <c r="I4" s="18296"/>
      <c r="J4" s="18297"/>
      <c r="K4" s="18298"/>
      <c r="L4" s="18299"/>
      <c r="M4" s="18300"/>
      <c r="N4" s="18301"/>
      <c r="O4" s="18302"/>
      <c r="P4" s="18303"/>
      <c r="Q4" s="18304"/>
      <c r="R4" s="18305"/>
      <c r="S4" s="18306"/>
      <c r="T4" s="18307"/>
    </row>
    <row r="5">
      <c r="A5" s="18308" t="s">
        <v>84</v>
      </c>
      <c r="B5" s="18309">
        <v>0</v>
      </c>
      <c r="C5" s="18310">
        <v>504</v>
      </c>
      <c r="D5" s="18311"/>
      <c r="E5" s="18312"/>
      <c r="F5" s="18313"/>
      <c r="G5" s="18314"/>
      <c r="H5" s="18315"/>
      <c r="I5" s="18316"/>
      <c r="J5" s="18317"/>
      <c r="K5" s="18318"/>
      <c r="L5" s="18319"/>
      <c r="M5" s="18320"/>
      <c r="N5" s="18321"/>
      <c r="O5" s="18322"/>
      <c r="P5" s="18323"/>
      <c r="Q5" s="18324"/>
      <c r="R5" s="18325"/>
      <c r="S5" s="18326"/>
      <c r="T5" s="18327"/>
    </row>
    <row r="6">
      <c r="A6" s="18328" t="s">
        <v>85</v>
      </c>
      <c r="B6" s="18329">
        <v>0</v>
      </c>
      <c r="C6" s="18330">
        <v>584</v>
      </c>
      <c r="D6" s="18331"/>
      <c r="E6" s="18332"/>
      <c r="F6" s="18333"/>
      <c r="G6" s="18334"/>
      <c r="H6" s="18335"/>
      <c r="I6" s="18336"/>
      <c r="J6" s="18337"/>
      <c r="K6" s="18338"/>
      <c r="L6" s="18339"/>
      <c r="M6" s="18340"/>
      <c r="N6" s="18341"/>
      <c r="O6" s="18342"/>
      <c r="P6" s="18343"/>
      <c r="Q6" s="18344"/>
      <c r="R6" s="18345"/>
      <c r="S6" s="18346"/>
      <c r="T6" s="18347"/>
    </row>
    <row r="7">
      <c r="A7" s="18348" t="s">
        <v>86</v>
      </c>
      <c r="B7" s="18349">
        <v>0</v>
      </c>
      <c r="C7" s="18350">
        <v>697</v>
      </c>
      <c r="D7" s="18351"/>
      <c r="E7" s="18352"/>
      <c r="F7" s="18353"/>
      <c r="G7" s="18354"/>
      <c r="H7" s="18355"/>
      <c r="I7" s="18356"/>
      <c r="J7" s="18357"/>
      <c r="K7" s="18358"/>
      <c r="L7" s="18359"/>
      <c r="M7" s="18360"/>
      <c r="N7" s="18361"/>
      <c r="O7" s="18362"/>
      <c r="P7" s="18363"/>
      <c r="Q7" s="18364"/>
      <c r="R7" s="18365"/>
      <c r="S7" s="18366"/>
      <c r="T7" s="18367"/>
    </row>
    <row r="8">
      <c r="A8" s="18368" t="s">
        <v>87</v>
      </c>
      <c r="B8" s="18369">
        <v>0</v>
      </c>
      <c r="C8" s="18370">
        <v>715</v>
      </c>
      <c r="D8" s="18371"/>
      <c r="E8" s="18372"/>
      <c r="F8" s="18373"/>
      <c r="G8" s="18374"/>
      <c r="H8" s="18375"/>
      <c r="I8" s="18376"/>
      <c r="J8" s="18377"/>
      <c r="K8" s="18378"/>
      <c r="L8" s="18379"/>
      <c r="M8" s="18380"/>
      <c r="N8" s="18381"/>
      <c r="O8" s="18382"/>
      <c r="P8" s="18383"/>
      <c r="Q8" s="18384"/>
      <c r="R8" s="18385"/>
      <c r="S8" s="18386"/>
      <c r="T8" s="18387"/>
    </row>
    <row r="9">
      <c r="A9" s="18388" t="s">
        <v>88</v>
      </c>
      <c r="B9" s="18389">
        <v>0</v>
      </c>
      <c r="C9" s="18390">
        <v>695</v>
      </c>
      <c r="D9" s="18391"/>
      <c r="E9" s="18392"/>
      <c r="F9" s="18393"/>
      <c r="G9" s="18394"/>
      <c r="H9" s="18395"/>
      <c r="I9" s="18396"/>
      <c r="J9" s="18397"/>
      <c r="K9" s="18398"/>
      <c r="L9" s="18399"/>
      <c r="M9" s="18400"/>
      <c r="N9" s="18401"/>
      <c r="O9" s="18402"/>
      <c r="P9" s="18403"/>
      <c r="Q9" s="18404"/>
      <c r="R9" s="18405"/>
      <c r="S9" s="18406"/>
      <c r="T9" s="18407"/>
    </row>
    <row r="10">
      <c r="A10" s="18408" t="s">
        <v>89</v>
      </c>
      <c r="B10" s="18409">
        <v>0</v>
      </c>
      <c r="C10" s="18410">
        <v>780</v>
      </c>
      <c r="D10" s="18411"/>
      <c r="E10" s="18412"/>
      <c r="F10" s="18413"/>
      <c r="G10" s="18414"/>
      <c r="H10" s="18415"/>
      <c r="I10" s="18416"/>
      <c r="J10" s="18417"/>
      <c r="K10" s="18418"/>
      <c r="L10" s="18419"/>
      <c r="M10" s="18420"/>
      <c r="N10" s="18421"/>
      <c r="O10" s="18422"/>
      <c r="P10" s="18423"/>
      <c r="Q10" s="18424"/>
      <c r="R10" s="18425"/>
      <c r="S10" s="18426"/>
      <c r="T10" s="18427"/>
    </row>
    <row r="11">
      <c r="A11" s="18428" t="s">
        <v>90</v>
      </c>
      <c r="B11" s="18429">
        <v>0</v>
      </c>
      <c r="C11" s="18430">
        <v>822</v>
      </c>
      <c r="D11" s="18431"/>
      <c r="E11" s="18432"/>
      <c r="F11" s="18433"/>
      <c r="G11" s="18434"/>
      <c r="H11" s="18435"/>
      <c r="I11" s="18436"/>
      <c r="J11" s="18437"/>
      <c r="K11" s="18438"/>
      <c r="L11" s="18439"/>
      <c r="M11" s="18440"/>
      <c r="N11" s="18441"/>
      <c r="O11" s="18442"/>
      <c r="P11" s="18443"/>
      <c r="Q11" s="18444"/>
      <c r="R11" s="18445"/>
      <c r="S11" s="18446"/>
      <c r="T11" s="18447"/>
    </row>
    <row r="12">
      <c r="A12" s="18448" t="s">
        <v>91</v>
      </c>
      <c r="B12" s="18449">
        <v>0</v>
      </c>
      <c r="C12" s="18450">
        <v>807</v>
      </c>
      <c r="D12" s="18451"/>
      <c r="E12" s="18452"/>
      <c r="F12" s="18453"/>
      <c r="G12" s="18454"/>
      <c r="H12" s="18455"/>
      <c r="I12" s="18456"/>
      <c r="J12" s="18457"/>
      <c r="K12" s="18458"/>
      <c r="L12" s="18459"/>
      <c r="M12" s="18460"/>
      <c r="N12" s="18461"/>
      <c r="O12" s="18462"/>
      <c r="P12" s="18463"/>
      <c r="Q12" s="18464"/>
      <c r="R12" s="18465"/>
      <c r="S12" s="18466"/>
      <c r="T12" s="18467"/>
    </row>
    <row r="13">
      <c r="A13" s="18468" t="s">
        <v>92</v>
      </c>
      <c r="B13" s="18469">
        <v>0</v>
      </c>
      <c r="C13" s="18470">
        <v>933</v>
      </c>
      <c r="D13" s="18471"/>
      <c r="E13" s="18472"/>
      <c r="F13" s="18473"/>
      <c r="G13" s="18474"/>
      <c r="H13" s="18475"/>
      <c r="I13" s="18476"/>
      <c r="J13" s="18477"/>
      <c r="K13" s="18478"/>
      <c r="L13" s="18479"/>
      <c r="M13" s="18480"/>
      <c r="N13" s="18481"/>
      <c r="O13" s="18482"/>
      <c r="P13" s="18483"/>
      <c r="Q13" s="18484"/>
      <c r="R13" s="18485"/>
      <c r="S13" s="18486"/>
      <c r="T13" s="18487"/>
    </row>
    <row r="14">
      <c r="A14" s="18488" t="s">
        <v>93</v>
      </c>
      <c r="B14" s="18489">
        <v>0</v>
      </c>
      <c r="C14" s="18490">
        <v>854</v>
      </c>
      <c r="D14" s="18491"/>
      <c r="E14" s="18492"/>
      <c r="F14" s="18493"/>
      <c r="G14" s="18494"/>
      <c r="H14" s="18495"/>
      <c r="I14" s="18496"/>
      <c r="J14" s="18497"/>
      <c r="K14" s="18498"/>
      <c r="L14" s="18499"/>
      <c r="M14" s="18500"/>
      <c r="N14" s="18501"/>
      <c r="O14" s="18502"/>
      <c r="P14" s="18503"/>
      <c r="Q14" s="18504"/>
      <c r="R14" s="18505"/>
      <c r="S14" s="18506"/>
      <c r="T14" s="18507"/>
    </row>
    <row r="15">
      <c r="A15" s="18508" t="s">
        <v>94</v>
      </c>
      <c r="B15" s="18509">
        <v>0</v>
      </c>
      <c r="C15" s="18510">
        <v>730</v>
      </c>
      <c r="D15" s="18511"/>
      <c r="E15" s="18512"/>
      <c r="F15" s="18513"/>
      <c r="G15" s="18514"/>
      <c r="H15" s="18515"/>
      <c r="I15" s="18516"/>
      <c r="J15" s="18517"/>
      <c r="K15" s="18518"/>
      <c r="L15" s="18519"/>
      <c r="M15" s="18520"/>
      <c r="N15" s="18521"/>
      <c r="O15" s="18522"/>
      <c r="P15" s="18523"/>
      <c r="Q15" s="18524"/>
      <c r="R15" s="18525"/>
      <c r="S15" s="18526"/>
      <c r="T15" s="18527"/>
    </row>
    <row r="16">
      <c r="A16" s="18528" t="s">
        <v>95</v>
      </c>
      <c r="B16" s="18529">
        <v>0</v>
      </c>
      <c r="C16" s="18530">
        <v>809</v>
      </c>
      <c r="D16" s="18531"/>
      <c r="E16" s="18532"/>
      <c r="F16" s="18533"/>
      <c r="G16" s="18534"/>
      <c r="H16" s="18535"/>
      <c r="I16" s="18536"/>
      <c r="J16" s="18537"/>
      <c r="K16" s="18538"/>
      <c r="L16" s="18539"/>
      <c r="M16" s="18540"/>
      <c r="N16" s="18541"/>
      <c r="O16" s="18542"/>
      <c r="P16" s="18543"/>
      <c r="Q16" s="18544"/>
      <c r="R16" s="18545"/>
      <c r="S16" s="18546"/>
      <c r="T16" s="18547"/>
    </row>
    <row r="17">
      <c r="A17" s="18548" t="s">
        <v>96</v>
      </c>
      <c r="B17" s="18549">
        <v>0</v>
      </c>
      <c r="C17" s="18550">
        <v>870</v>
      </c>
      <c r="D17" s="18551"/>
      <c r="E17" s="18552"/>
      <c r="F17" s="18553"/>
      <c r="G17" s="18554"/>
      <c r="H17" s="18555"/>
      <c r="I17" s="18556"/>
      <c r="J17" s="18557"/>
      <c r="K17" s="18558"/>
      <c r="L17" s="18559"/>
      <c r="M17" s="18560"/>
      <c r="N17" s="18561"/>
      <c r="O17" s="18562"/>
      <c r="P17" s="18563"/>
      <c r="Q17" s="18564"/>
      <c r="R17" s="18565"/>
      <c r="S17" s="18566"/>
      <c r="T17" s="18567"/>
    </row>
    <row r="18">
      <c r="A18" s="18568" t="s">
        <v>97</v>
      </c>
      <c r="B18" s="18569">
        <v>0</v>
      </c>
      <c r="C18" s="18570">
        <v>10355</v>
      </c>
      <c r="D18" s="18571"/>
      <c r="E18" s="18572"/>
      <c r="F18" s="18573"/>
      <c r="G18" s="18574"/>
      <c r="H18" s="18575"/>
      <c r="I18" s="18576"/>
      <c r="J18" s="18577"/>
      <c r="K18" s="18578"/>
      <c r="L18" s="18579"/>
      <c r="M18" s="18580"/>
      <c r="N18" s="18581"/>
      <c r="O18" s="18582"/>
      <c r="P18" s="18583"/>
      <c r="Q18" s="18584"/>
      <c r="R18" s="18585"/>
      <c r="S18" s="18586"/>
      <c r="T18" s="18587"/>
    </row>
    <row r="19">
      <c r="A19" s="18588" t="s">
        <v>98</v>
      </c>
      <c r="B19" s="18589"/>
      <c r="C19" s="18590"/>
      <c r="D19" s="18591"/>
      <c r="E19" s="18592"/>
      <c r="F19" s="18593"/>
      <c r="G19" s="18594"/>
      <c r="H19" s="18595"/>
      <c r="I19" s="18596"/>
      <c r="J19" s="18597"/>
      <c r="K19" s="18598"/>
      <c r="L19" s="18599"/>
      <c r="M19" s="18600"/>
      <c r="N19" s="18601"/>
      <c r="O19" s="18602"/>
      <c r="P19" s="18603"/>
      <c r="Q19" s="18604"/>
      <c r="R19" s="18605"/>
      <c r="S19" s="18606"/>
      <c r="T19" s="18607"/>
    </row>
    <row r="20">
      <c r="A20" s="18608" t="s">
        <v>137</v>
      </c>
      <c r="B20" s="18609"/>
      <c r="C20" s="18610"/>
      <c r="D20" s="18611"/>
      <c r="E20" s="18612"/>
      <c r="F20" s="18613"/>
      <c r="G20" s="18614"/>
      <c r="H20" s="18615"/>
      <c r="I20" s="18616"/>
      <c r="J20" s="18617"/>
      <c r="K20" s="18618"/>
      <c r="L20" s="18619"/>
      <c r="M20" s="18620"/>
      <c r="N20" s="18621"/>
      <c r="O20" s="18622"/>
      <c r="P20" s="18623"/>
      <c r="Q20" s="18624"/>
      <c r="R20" s="18625"/>
      <c r="S20" s="18626"/>
      <c r="T20" s="18627"/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6" width="15.453125" style="18628" customWidth="true"/>
  </cols>
  <sheetData>
    <row r="1">
      <c r="A1" s="18629" t="s">
        <v>141</v>
      </c>
      <c r="B1" s="18630"/>
      <c r="C1" s="18631"/>
      <c r="D1" s="18632"/>
      <c r="E1" s="18633"/>
      <c r="F1" s="18634"/>
      <c r="G1" s="18635"/>
      <c r="H1" s="18636"/>
      <c r="I1" s="18637"/>
      <c r="J1" s="18638"/>
      <c r="K1" s="18639"/>
      <c r="L1" s="18640"/>
      <c r="M1" s="18641"/>
      <c r="N1" s="18642"/>
      <c r="O1" s="18643"/>
      <c r="P1" s="18644"/>
      <c r="Q1" s="18645"/>
      <c r="R1" s="18646"/>
      <c r="S1" s="18647"/>
      <c r="T1" s="18648"/>
    </row>
    <row r="2">
      <c r="A2" s="18649"/>
      <c r="B2" s="18650" t="s">
        <v>79</v>
      </c>
      <c r="C2" s="18651" t="s">
        <v>80</v>
      </c>
      <c r="D2" s="18652"/>
      <c r="E2" s="18653"/>
      <c r="F2" s="18654"/>
      <c r="G2" s="18655"/>
      <c r="H2" s="18656"/>
      <c r="I2" s="18657"/>
      <c r="J2" s="18658"/>
      <c r="K2" s="18659"/>
      <c r="L2" s="18660"/>
      <c r="M2" s="18661"/>
      <c r="N2" s="18662"/>
      <c r="O2" s="18663"/>
      <c r="P2" s="18664"/>
      <c r="Q2" s="18665"/>
      <c r="R2" s="18666"/>
      <c r="S2" s="18667"/>
      <c r="T2" s="18668"/>
    </row>
    <row r="3">
      <c r="A3" s="18669" t="s">
        <v>82</v>
      </c>
      <c r="B3" s="18670"/>
      <c r="C3" s="18671"/>
      <c r="D3" s="18672"/>
      <c r="E3" s="18673"/>
      <c r="F3" s="18674"/>
      <c r="G3" s="18675"/>
      <c r="H3" s="18676"/>
      <c r="I3" s="18677"/>
      <c r="J3" s="18678"/>
      <c r="K3" s="18679"/>
      <c r="L3" s="18680"/>
      <c r="M3" s="18681"/>
      <c r="N3" s="18682"/>
      <c r="O3" s="18683"/>
      <c r="P3" s="18684"/>
      <c r="Q3" s="18685"/>
      <c r="R3" s="18686"/>
      <c r="S3" s="18687"/>
      <c r="T3" s="18688"/>
    </row>
    <row r="4">
      <c r="A4" s="18689" t="s">
        <v>83</v>
      </c>
      <c r="B4" s="18690">
        <v>0</v>
      </c>
      <c r="C4" s="18691">
        <v>555</v>
      </c>
      <c r="D4" s="18692"/>
      <c r="E4" s="18693"/>
      <c r="F4" s="18694"/>
      <c r="G4" s="18695"/>
      <c r="H4" s="18696"/>
      <c r="I4" s="18697"/>
      <c r="J4" s="18698"/>
      <c r="K4" s="18699"/>
      <c r="L4" s="18700"/>
      <c r="M4" s="18701"/>
      <c r="N4" s="18702"/>
      <c r="O4" s="18703"/>
      <c r="P4" s="18704"/>
      <c r="Q4" s="18705"/>
      <c r="R4" s="18706"/>
      <c r="S4" s="18707"/>
      <c r="T4" s="18708"/>
    </row>
    <row r="5">
      <c r="A5" s="18709" t="s">
        <v>84</v>
      </c>
      <c r="B5" s="18710">
        <v>0</v>
      </c>
      <c r="C5" s="18711">
        <v>504</v>
      </c>
      <c r="D5" s="18712"/>
      <c r="E5" s="18713"/>
      <c r="F5" s="18714"/>
      <c r="G5" s="18715"/>
      <c r="H5" s="18716"/>
      <c r="I5" s="18717"/>
      <c r="J5" s="18718"/>
      <c r="K5" s="18719"/>
      <c r="L5" s="18720"/>
      <c r="M5" s="18721"/>
      <c r="N5" s="18722"/>
      <c r="O5" s="18723"/>
      <c r="P5" s="18724"/>
      <c r="Q5" s="18725"/>
      <c r="R5" s="18726"/>
      <c r="S5" s="18727"/>
      <c r="T5" s="18728"/>
    </row>
    <row r="6">
      <c r="A6" s="18729" t="s">
        <v>85</v>
      </c>
      <c r="B6" s="18730">
        <v>0</v>
      </c>
      <c r="C6" s="18731">
        <v>584</v>
      </c>
      <c r="D6" s="18732"/>
      <c r="E6" s="18733"/>
      <c r="F6" s="18734"/>
      <c r="G6" s="18735"/>
      <c r="H6" s="18736"/>
      <c r="I6" s="18737"/>
      <c r="J6" s="18738"/>
      <c r="K6" s="18739"/>
      <c r="L6" s="18740"/>
      <c r="M6" s="18741"/>
      <c r="N6" s="18742"/>
      <c r="O6" s="18743"/>
      <c r="P6" s="18744"/>
      <c r="Q6" s="18745"/>
      <c r="R6" s="18746"/>
      <c r="S6" s="18747"/>
      <c r="T6" s="18748"/>
    </row>
    <row r="7">
      <c r="A7" s="18749" t="s">
        <v>86</v>
      </c>
      <c r="B7" s="18750">
        <v>0</v>
      </c>
      <c r="C7" s="18751">
        <v>697</v>
      </c>
      <c r="D7" s="18752"/>
      <c r="E7" s="18753"/>
      <c r="F7" s="18754"/>
      <c r="G7" s="18755"/>
      <c r="H7" s="18756"/>
      <c r="I7" s="18757"/>
      <c r="J7" s="18758"/>
      <c r="K7" s="18759"/>
      <c r="L7" s="18760"/>
      <c r="M7" s="18761"/>
      <c r="N7" s="18762"/>
      <c r="O7" s="18763"/>
      <c r="P7" s="18764"/>
      <c r="Q7" s="18765"/>
      <c r="R7" s="18766"/>
      <c r="S7" s="18767"/>
      <c r="T7" s="18768"/>
    </row>
    <row r="8">
      <c r="A8" s="18769" t="s">
        <v>87</v>
      </c>
      <c r="B8" s="18770">
        <v>0</v>
      </c>
      <c r="C8" s="18771">
        <v>715</v>
      </c>
      <c r="D8" s="18772"/>
      <c r="E8" s="18773"/>
      <c r="F8" s="18774"/>
      <c r="G8" s="18775"/>
      <c r="H8" s="18776"/>
      <c r="I8" s="18777"/>
      <c r="J8" s="18778"/>
      <c r="K8" s="18779"/>
      <c r="L8" s="18780"/>
      <c r="M8" s="18781"/>
      <c r="N8" s="18782"/>
      <c r="O8" s="18783"/>
      <c r="P8" s="18784"/>
      <c r="Q8" s="18785"/>
      <c r="R8" s="18786"/>
      <c r="S8" s="18787"/>
      <c r="T8" s="18788"/>
    </row>
    <row r="9">
      <c r="A9" s="18789" t="s">
        <v>88</v>
      </c>
      <c r="B9" s="18790">
        <v>0</v>
      </c>
      <c r="C9" s="18791">
        <v>695</v>
      </c>
      <c r="D9" s="18792"/>
      <c r="E9" s="18793"/>
      <c r="F9" s="18794"/>
      <c r="G9" s="18795"/>
      <c r="H9" s="18796"/>
      <c r="I9" s="18797"/>
      <c r="J9" s="18798"/>
      <c r="K9" s="18799"/>
      <c r="L9" s="18800"/>
      <c r="M9" s="18801"/>
      <c r="N9" s="18802"/>
      <c r="O9" s="18803"/>
      <c r="P9" s="18804"/>
      <c r="Q9" s="18805"/>
      <c r="R9" s="18806"/>
      <c r="S9" s="18807"/>
      <c r="T9" s="18808"/>
    </row>
    <row r="10">
      <c r="A10" s="18809" t="s">
        <v>89</v>
      </c>
      <c r="B10" s="18810">
        <v>0</v>
      </c>
      <c r="C10" s="18811">
        <v>780</v>
      </c>
      <c r="D10" s="18812"/>
      <c r="E10" s="18813"/>
      <c r="F10" s="18814"/>
      <c r="G10" s="18815"/>
      <c r="H10" s="18816"/>
      <c r="I10" s="18817"/>
      <c r="J10" s="18818"/>
      <c r="K10" s="18819"/>
      <c r="L10" s="18820"/>
      <c r="M10" s="18821"/>
      <c r="N10" s="18822"/>
      <c r="O10" s="18823"/>
      <c r="P10" s="18824"/>
      <c r="Q10" s="18825"/>
      <c r="R10" s="18826"/>
      <c r="S10" s="18827"/>
      <c r="T10" s="18828"/>
    </row>
    <row r="11">
      <c r="A11" s="18829" t="s">
        <v>90</v>
      </c>
      <c r="B11" s="18830">
        <v>0</v>
      </c>
      <c r="C11" s="18831">
        <v>822</v>
      </c>
      <c r="D11" s="18832"/>
      <c r="E11" s="18833"/>
      <c r="F11" s="18834"/>
      <c r="G11" s="18835"/>
      <c r="H11" s="18836"/>
      <c r="I11" s="18837"/>
      <c r="J11" s="18838"/>
      <c r="K11" s="18839"/>
      <c r="L11" s="18840"/>
      <c r="M11" s="18841"/>
      <c r="N11" s="18842"/>
      <c r="O11" s="18843"/>
      <c r="P11" s="18844"/>
      <c r="Q11" s="18845"/>
      <c r="R11" s="18846"/>
      <c r="S11" s="18847"/>
      <c r="T11" s="18848"/>
    </row>
    <row r="12">
      <c r="A12" s="18849" t="s">
        <v>91</v>
      </c>
      <c r="B12" s="18850">
        <v>0</v>
      </c>
      <c r="C12" s="18851">
        <v>807</v>
      </c>
      <c r="D12" s="18852"/>
      <c r="E12" s="18853"/>
      <c r="F12" s="18854"/>
      <c r="G12" s="18855"/>
      <c r="H12" s="18856"/>
      <c r="I12" s="18857"/>
      <c r="J12" s="18858"/>
      <c r="K12" s="18859"/>
      <c r="L12" s="18860"/>
      <c r="M12" s="18861"/>
      <c r="N12" s="18862"/>
      <c r="O12" s="18863"/>
      <c r="P12" s="18864"/>
      <c r="Q12" s="18865"/>
      <c r="R12" s="18866"/>
      <c r="S12" s="18867"/>
      <c r="T12" s="18868"/>
    </row>
    <row r="13">
      <c r="A13" s="18869" t="s">
        <v>92</v>
      </c>
      <c r="B13" s="18870">
        <v>0</v>
      </c>
      <c r="C13" s="18871">
        <v>933</v>
      </c>
      <c r="D13" s="18872"/>
      <c r="E13" s="18873"/>
      <c r="F13" s="18874"/>
      <c r="G13" s="18875"/>
      <c r="H13" s="18876"/>
      <c r="I13" s="18877"/>
      <c r="J13" s="18878"/>
      <c r="K13" s="18879"/>
      <c r="L13" s="18880"/>
      <c r="M13" s="18881"/>
      <c r="N13" s="18882"/>
      <c r="O13" s="18883"/>
      <c r="P13" s="18884"/>
      <c r="Q13" s="18885"/>
      <c r="R13" s="18886"/>
      <c r="S13" s="18887"/>
      <c r="T13" s="18888"/>
    </row>
    <row r="14">
      <c r="A14" s="18889" t="s">
        <v>93</v>
      </c>
      <c r="B14" s="18890">
        <v>0</v>
      </c>
      <c r="C14" s="18891">
        <v>854</v>
      </c>
      <c r="D14" s="18892"/>
      <c r="E14" s="18893"/>
      <c r="F14" s="18894"/>
      <c r="G14" s="18895"/>
      <c r="H14" s="18896"/>
      <c r="I14" s="18897"/>
      <c r="J14" s="18898"/>
      <c r="K14" s="18899"/>
      <c r="L14" s="18900"/>
      <c r="M14" s="18901"/>
      <c r="N14" s="18902"/>
      <c r="O14" s="18903"/>
      <c r="P14" s="18904"/>
      <c r="Q14" s="18905"/>
      <c r="R14" s="18906"/>
      <c r="S14" s="18907"/>
      <c r="T14" s="18908"/>
    </row>
    <row r="15">
      <c r="A15" s="18909" t="s">
        <v>94</v>
      </c>
      <c r="B15" s="18910">
        <v>0</v>
      </c>
      <c r="C15" s="18911">
        <v>730</v>
      </c>
      <c r="D15" s="18912"/>
      <c r="E15" s="18913"/>
      <c r="F15" s="18914"/>
      <c r="G15" s="18915"/>
      <c r="H15" s="18916"/>
      <c r="I15" s="18917"/>
      <c r="J15" s="18918"/>
      <c r="K15" s="18919"/>
      <c r="L15" s="18920"/>
      <c r="M15" s="18921"/>
      <c r="N15" s="18922"/>
      <c r="O15" s="18923"/>
      <c r="P15" s="18924"/>
      <c r="Q15" s="18925"/>
      <c r="R15" s="18926"/>
      <c r="S15" s="18927"/>
      <c r="T15" s="18928"/>
    </row>
    <row r="16">
      <c r="A16" s="18929" t="s">
        <v>95</v>
      </c>
      <c r="B16" s="18930">
        <v>0</v>
      </c>
      <c r="C16" s="18931">
        <v>809</v>
      </c>
      <c r="D16" s="18932"/>
      <c r="E16" s="18933"/>
      <c r="F16" s="18934"/>
      <c r="G16" s="18935"/>
      <c r="H16" s="18936"/>
      <c r="I16" s="18937"/>
      <c r="J16" s="18938"/>
      <c r="K16" s="18939"/>
      <c r="L16" s="18940"/>
      <c r="M16" s="18941"/>
      <c r="N16" s="18942"/>
      <c r="O16" s="18943"/>
      <c r="P16" s="18944"/>
      <c r="Q16" s="18945"/>
      <c r="R16" s="18946"/>
      <c r="S16" s="18947"/>
      <c r="T16" s="18948"/>
    </row>
    <row r="17">
      <c r="A17" s="18949" t="s">
        <v>96</v>
      </c>
      <c r="B17" s="18950">
        <v>0</v>
      </c>
      <c r="C17" s="18951">
        <v>870</v>
      </c>
      <c r="D17" s="18952"/>
      <c r="E17" s="18953"/>
      <c r="F17" s="18954"/>
      <c r="G17" s="18955"/>
      <c r="H17" s="18956"/>
      <c r="I17" s="18957"/>
      <c r="J17" s="18958"/>
      <c r="K17" s="18959"/>
      <c r="L17" s="18960"/>
      <c r="M17" s="18961"/>
      <c r="N17" s="18962"/>
      <c r="O17" s="18963"/>
      <c r="P17" s="18964"/>
      <c r="Q17" s="18965"/>
      <c r="R17" s="18966"/>
      <c r="S17" s="18967"/>
      <c r="T17" s="18968"/>
    </row>
    <row r="18">
      <c r="A18" s="18969" t="s">
        <v>97</v>
      </c>
      <c r="B18" s="18970">
        <v>0</v>
      </c>
      <c r="C18" s="18971">
        <v>10355</v>
      </c>
      <c r="D18" s="18972"/>
      <c r="E18" s="18973"/>
      <c r="F18" s="18974"/>
      <c r="G18" s="18975"/>
      <c r="H18" s="18976"/>
      <c r="I18" s="18977"/>
      <c r="J18" s="18978"/>
      <c r="K18" s="18979"/>
      <c r="L18" s="18980"/>
      <c r="M18" s="18981"/>
      <c r="N18" s="18982"/>
      <c r="O18" s="18983"/>
      <c r="P18" s="18984"/>
      <c r="Q18" s="18985"/>
      <c r="R18" s="18986"/>
      <c r="S18" s="18987"/>
      <c r="T18" s="18988"/>
    </row>
    <row r="19">
      <c r="A19" s="18989" t="s">
        <v>98</v>
      </c>
      <c r="B19" s="18990"/>
      <c r="C19" s="18991"/>
      <c r="D19" s="18992"/>
      <c r="E19" s="18993"/>
      <c r="F19" s="18994"/>
      <c r="G19" s="18995"/>
      <c r="H19" s="18996"/>
      <c r="I19" s="18997"/>
      <c r="J19" s="18998"/>
      <c r="K19" s="18999"/>
      <c r="L19" s="19000"/>
      <c r="M19" s="19001"/>
      <c r="N19" s="19002"/>
      <c r="O19" s="19003"/>
      <c r="P19" s="19004"/>
      <c r="Q19" s="19005"/>
      <c r="R19" s="19006"/>
      <c r="S19" s="19007"/>
      <c r="T19" s="19008"/>
    </row>
    <row r="20">
      <c r="A20" s="19009" t="s">
        <v>137</v>
      </c>
      <c r="B20" s="19010"/>
      <c r="C20" s="19011"/>
      <c r="D20" s="19012"/>
      <c r="E20" s="19013"/>
      <c r="F20" s="19014"/>
      <c r="G20" s="19015"/>
      <c r="H20" s="19016"/>
      <c r="I20" s="19017"/>
      <c r="J20" s="19018"/>
      <c r="K20" s="19019"/>
      <c r="L20" s="19020"/>
      <c r="M20" s="19021"/>
      <c r="N20" s="19022"/>
      <c r="O20" s="19023"/>
      <c r="P20" s="19024"/>
      <c r="Q20" s="19025"/>
      <c r="R20" s="19026"/>
      <c r="S20" s="19027"/>
      <c r="T20" s="19028"/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6" width="15.453125" style="19029" customWidth="true"/>
  </cols>
  <sheetData>
    <row r="1">
      <c r="A1" s="19030" t="s">
        <v>142</v>
      </c>
      <c r="B1" s="19031"/>
      <c r="C1" s="19032"/>
      <c r="D1" s="19033"/>
      <c r="E1" s="19034"/>
      <c r="F1" s="19035"/>
      <c r="G1" s="19036"/>
      <c r="H1" s="19037"/>
      <c r="I1" s="19038"/>
      <c r="J1" s="19039"/>
      <c r="K1" s="19040"/>
      <c r="L1" s="19041"/>
      <c r="M1" s="19042"/>
      <c r="N1" s="19043"/>
      <c r="O1" s="19044"/>
      <c r="P1" s="19045"/>
      <c r="Q1" s="19046"/>
      <c r="R1" s="19047"/>
      <c r="S1" s="19048"/>
      <c r="T1" s="19049"/>
    </row>
    <row r="2">
      <c r="A2" s="19050"/>
      <c r="B2" s="19051" t="s">
        <v>79</v>
      </c>
      <c r="C2" s="19052" t="s">
        <v>80</v>
      </c>
      <c r="D2" s="19053"/>
      <c r="E2" s="19054"/>
      <c r="F2" s="19055"/>
      <c r="G2" s="19056"/>
      <c r="H2" s="19057"/>
      <c r="I2" s="19058"/>
      <c r="J2" s="19059"/>
      <c r="K2" s="19060"/>
      <c r="L2" s="19061"/>
      <c r="M2" s="19062"/>
      <c r="N2" s="19063"/>
      <c r="O2" s="19064"/>
      <c r="P2" s="19065"/>
      <c r="Q2" s="19066"/>
      <c r="R2" s="19067"/>
      <c r="S2" s="19068"/>
      <c r="T2" s="19069"/>
    </row>
    <row r="3">
      <c r="A3" s="19070" t="s">
        <v>82</v>
      </c>
      <c r="B3" s="19071"/>
      <c r="C3" s="19072"/>
      <c r="D3" s="19073"/>
      <c r="E3" s="19074"/>
      <c r="F3" s="19075"/>
      <c r="G3" s="19076"/>
      <c r="H3" s="19077"/>
      <c r="I3" s="19078"/>
      <c r="J3" s="19079"/>
      <c r="K3" s="19080"/>
      <c r="L3" s="19081"/>
      <c r="M3" s="19082"/>
      <c r="N3" s="19083"/>
      <c r="O3" s="19084"/>
      <c r="P3" s="19085"/>
      <c r="Q3" s="19086"/>
      <c r="R3" s="19087"/>
      <c r="S3" s="19088"/>
      <c r="T3" s="19089"/>
    </row>
    <row r="4">
      <c r="A4" s="19090" t="s">
        <v>83</v>
      </c>
      <c r="B4" s="19091">
        <v>0</v>
      </c>
      <c r="C4" s="19092">
        <v>555</v>
      </c>
      <c r="D4" s="19093"/>
      <c r="E4" s="19094"/>
      <c r="F4" s="19095"/>
      <c r="G4" s="19096"/>
      <c r="H4" s="19097"/>
      <c r="I4" s="19098"/>
      <c r="J4" s="19099"/>
      <c r="K4" s="19100"/>
      <c r="L4" s="19101"/>
      <c r="M4" s="19102"/>
      <c r="N4" s="19103"/>
      <c r="O4" s="19104"/>
      <c r="P4" s="19105"/>
      <c r="Q4" s="19106"/>
      <c r="R4" s="19107"/>
      <c r="S4" s="19108"/>
      <c r="T4" s="19109"/>
    </row>
    <row r="5">
      <c r="A5" s="19110" t="s">
        <v>84</v>
      </c>
      <c r="B5" s="19111">
        <v>0</v>
      </c>
      <c r="C5" s="19112">
        <v>504</v>
      </c>
      <c r="D5" s="19113"/>
      <c r="E5" s="19114"/>
      <c r="F5" s="19115"/>
      <c r="G5" s="19116"/>
      <c r="H5" s="19117"/>
      <c r="I5" s="19118"/>
      <c r="J5" s="19119"/>
      <c r="K5" s="19120"/>
      <c r="L5" s="19121"/>
      <c r="M5" s="19122"/>
      <c r="N5" s="19123"/>
      <c r="O5" s="19124"/>
      <c r="P5" s="19125"/>
      <c r="Q5" s="19126"/>
      <c r="R5" s="19127"/>
      <c r="S5" s="19128"/>
      <c r="T5" s="19129"/>
    </row>
    <row r="6">
      <c r="A6" s="19130" t="s">
        <v>85</v>
      </c>
      <c r="B6" s="19131">
        <v>0</v>
      </c>
      <c r="C6" s="19132">
        <v>584</v>
      </c>
      <c r="D6" s="19133"/>
      <c r="E6" s="19134"/>
      <c r="F6" s="19135"/>
      <c r="G6" s="19136"/>
      <c r="H6" s="19137"/>
      <c r="I6" s="19138"/>
      <c r="J6" s="19139"/>
      <c r="K6" s="19140"/>
      <c r="L6" s="19141"/>
      <c r="M6" s="19142"/>
      <c r="N6" s="19143"/>
      <c r="O6" s="19144"/>
      <c r="P6" s="19145"/>
      <c r="Q6" s="19146"/>
      <c r="R6" s="19147"/>
      <c r="S6" s="19148"/>
      <c r="T6" s="19149"/>
    </row>
    <row r="7">
      <c r="A7" s="19150" t="s">
        <v>86</v>
      </c>
      <c r="B7" s="19151">
        <v>0</v>
      </c>
      <c r="C7" s="19152">
        <v>697</v>
      </c>
      <c r="D7" s="19153"/>
      <c r="E7" s="19154"/>
      <c r="F7" s="19155"/>
      <c r="G7" s="19156"/>
      <c r="H7" s="19157"/>
      <c r="I7" s="19158"/>
      <c r="J7" s="19159"/>
      <c r="K7" s="19160"/>
      <c r="L7" s="19161"/>
      <c r="M7" s="19162"/>
      <c r="N7" s="19163"/>
      <c r="O7" s="19164"/>
      <c r="P7" s="19165"/>
      <c r="Q7" s="19166"/>
      <c r="R7" s="19167"/>
      <c r="S7" s="19168"/>
      <c r="T7" s="19169"/>
    </row>
    <row r="8">
      <c r="A8" s="19170" t="s">
        <v>87</v>
      </c>
      <c r="B8" s="19171">
        <v>0</v>
      </c>
      <c r="C8" s="19172">
        <v>715</v>
      </c>
      <c r="D8" s="19173"/>
      <c r="E8" s="19174"/>
      <c r="F8" s="19175"/>
      <c r="G8" s="19176"/>
      <c r="H8" s="19177"/>
      <c r="I8" s="19178"/>
      <c r="J8" s="19179"/>
      <c r="K8" s="19180"/>
      <c r="L8" s="19181"/>
      <c r="M8" s="19182"/>
      <c r="N8" s="19183"/>
      <c r="O8" s="19184"/>
      <c r="P8" s="19185"/>
      <c r="Q8" s="19186"/>
      <c r="R8" s="19187"/>
      <c r="S8" s="19188"/>
      <c r="T8" s="19189"/>
    </row>
    <row r="9">
      <c r="A9" s="19190" t="s">
        <v>88</v>
      </c>
      <c r="B9" s="19191">
        <v>0</v>
      </c>
      <c r="C9" s="19192">
        <v>695</v>
      </c>
      <c r="D9" s="19193"/>
      <c r="E9" s="19194"/>
      <c r="F9" s="19195"/>
      <c r="G9" s="19196"/>
      <c r="H9" s="19197"/>
      <c r="I9" s="19198"/>
      <c r="J9" s="19199"/>
      <c r="K9" s="19200"/>
      <c r="L9" s="19201"/>
      <c r="M9" s="19202"/>
      <c r="N9" s="19203"/>
      <c r="O9" s="19204"/>
      <c r="P9" s="19205"/>
      <c r="Q9" s="19206"/>
      <c r="R9" s="19207"/>
      <c r="S9" s="19208"/>
      <c r="T9" s="19209"/>
    </row>
    <row r="10">
      <c r="A10" s="19210" t="s">
        <v>89</v>
      </c>
      <c r="B10" s="19211">
        <v>0</v>
      </c>
      <c r="C10" s="19212">
        <v>780</v>
      </c>
      <c r="D10" s="19213"/>
      <c r="E10" s="19214"/>
      <c r="F10" s="19215"/>
      <c r="G10" s="19216"/>
      <c r="H10" s="19217"/>
      <c r="I10" s="19218"/>
      <c r="J10" s="19219"/>
      <c r="K10" s="19220"/>
      <c r="L10" s="19221"/>
      <c r="M10" s="19222"/>
      <c r="N10" s="19223"/>
      <c r="O10" s="19224"/>
      <c r="P10" s="19225"/>
      <c r="Q10" s="19226"/>
      <c r="R10" s="19227"/>
      <c r="S10" s="19228"/>
      <c r="T10" s="19229"/>
    </row>
    <row r="11">
      <c r="A11" s="19230" t="s">
        <v>90</v>
      </c>
      <c r="B11" s="19231">
        <v>0</v>
      </c>
      <c r="C11" s="19232">
        <v>822</v>
      </c>
      <c r="D11" s="19233"/>
      <c r="E11" s="19234"/>
      <c r="F11" s="19235"/>
      <c r="G11" s="19236"/>
      <c r="H11" s="19237"/>
      <c r="I11" s="19238"/>
      <c r="J11" s="19239"/>
      <c r="K11" s="19240"/>
      <c r="L11" s="19241"/>
      <c r="M11" s="19242"/>
      <c r="N11" s="19243"/>
      <c r="O11" s="19244"/>
      <c r="P11" s="19245"/>
      <c r="Q11" s="19246"/>
      <c r="R11" s="19247"/>
      <c r="S11" s="19248"/>
      <c r="T11" s="19249"/>
    </row>
    <row r="12">
      <c r="A12" s="19250" t="s">
        <v>91</v>
      </c>
      <c r="B12" s="19251">
        <v>0</v>
      </c>
      <c r="C12" s="19252">
        <v>807</v>
      </c>
      <c r="D12" s="19253"/>
      <c r="E12" s="19254"/>
      <c r="F12" s="19255"/>
      <c r="G12" s="19256"/>
      <c r="H12" s="19257"/>
      <c r="I12" s="19258"/>
      <c r="J12" s="19259"/>
      <c r="K12" s="19260"/>
      <c r="L12" s="19261"/>
      <c r="M12" s="19262"/>
      <c r="N12" s="19263"/>
      <c r="O12" s="19264"/>
      <c r="P12" s="19265"/>
      <c r="Q12" s="19266"/>
      <c r="R12" s="19267"/>
      <c r="S12" s="19268"/>
      <c r="T12" s="19269"/>
    </row>
    <row r="13">
      <c r="A13" s="19270" t="s">
        <v>92</v>
      </c>
      <c r="B13" s="19271">
        <v>0</v>
      </c>
      <c r="C13" s="19272">
        <v>933</v>
      </c>
      <c r="D13" s="19273"/>
      <c r="E13" s="19274"/>
      <c r="F13" s="19275"/>
      <c r="G13" s="19276"/>
      <c r="H13" s="19277"/>
      <c r="I13" s="19278"/>
      <c r="J13" s="19279"/>
      <c r="K13" s="19280"/>
      <c r="L13" s="19281"/>
      <c r="M13" s="19282"/>
      <c r="N13" s="19283"/>
      <c r="O13" s="19284"/>
      <c r="P13" s="19285"/>
      <c r="Q13" s="19286"/>
      <c r="R13" s="19287"/>
      <c r="S13" s="19288"/>
      <c r="T13" s="19289"/>
    </row>
    <row r="14">
      <c r="A14" s="19290" t="s">
        <v>93</v>
      </c>
      <c r="B14" s="19291">
        <v>0</v>
      </c>
      <c r="C14" s="19292">
        <v>854</v>
      </c>
      <c r="D14" s="19293"/>
      <c r="E14" s="19294"/>
      <c r="F14" s="19295"/>
      <c r="G14" s="19296"/>
      <c r="H14" s="19297"/>
      <c r="I14" s="19298"/>
      <c r="J14" s="19299"/>
      <c r="K14" s="19300"/>
      <c r="L14" s="19301"/>
      <c r="M14" s="19302"/>
      <c r="N14" s="19303"/>
      <c r="O14" s="19304"/>
      <c r="P14" s="19305"/>
      <c r="Q14" s="19306"/>
      <c r="R14" s="19307"/>
      <c r="S14" s="19308"/>
      <c r="T14" s="19309"/>
    </row>
    <row r="15">
      <c r="A15" s="19310" t="s">
        <v>94</v>
      </c>
      <c r="B15" s="19311">
        <v>0</v>
      </c>
      <c r="C15" s="19312">
        <v>730</v>
      </c>
      <c r="D15" s="19313"/>
      <c r="E15" s="19314"/>
      <c r="F15" s="19315"/>
      <c r="G15" s="19316"/>
      <c r="H15" s="19317"/>
      <c r="I15" s="19318"/>
      <c r="J15" s="19319"/>
      <c r="K15" s="19320"/>
      <c r="L15" s="19321"/>
      <c r="M15" s="19322"/>
      <c r="N15" s="19323"/>
      <c r="O15" s="19324"/>
      <c r="P15" s="19325"/>
      <c r="Q15" s="19326"/>
      <c r="R15" s="19327"/>
      <c r="S15" s="19328"/>
      <c r="T15" s="19329"/>
    </row>
    <row r="16">
      <c r="A16" s="19330" t="s">
        <v>95</v>
      </c>
      <c r="B16" s="19331">
        <v>0</v>
      </c>
      <c r="C16" s="19332">
        <v>809</v>
      </c>
      <c r="D16" s="19333"/>
      <c r="E16" s="19334"/>
      <c r="F16" s="19335"/>
      <c r="G16" s="19336"/>
      <c r="H16" s="19337"/>
      <c r="I16" s="19338"/>
      <c r="J16" s="19339"/>
      <c r="K16" s="19340"/>
      <c r="L16" s="19341"/>
      <c r="M16" s="19342"/>
      <c r="N16" s="19343"/>
      <c r="O16" s="19344"/>
      <c r="P16" s="19345"/>
      <c r="Q16" s="19346"/>
      <c r="R16" s="19347"/>
      <c r="S16" s="19348"/>
      <c r="T16" s="19349"/>
    </row>
    <row r="17">
      <c r="A17" s="19350" t="s">
        <v>96</v>
      </c>
      <c r="B17" s="19351">
        <v>0</v>
      </c>
      <c r="C17" s="19352">
        <v>870</v>
      </c>
      <c r="D17" s="19353"/>
      <c r="E17" s="19354"/>
      <c r="F17" s="19355"/>
      <c r="G17" s="19356"/>
      <c r="H17" s="19357"/>
      <c r="I17" s="19358"/>
      <c r="J17" s="19359"/>
      <c r="K17" s="19360"/>
      <c r="L17" s="19361"/>
      <c r="M17" s="19362"/>
      <c r="N17" s="19363"/>
      <c r="O17" s="19364"/>
      <c r="P17" s="19365"/>
      <c r="Q17" s="19366"/>
      <c r="R17" s="19367"/>
      <c r="S17" s="19368"/>
      <c r="T17" s="19369"/>
    </row>
    <row r="18">
      <c r="A18" s="19370" t="s">
        <v>97</v>
      </c>
      <c r="B18" s="19371">
        <v>0</v>
      </c>
      <c r="C18" s="19372">
        <v>10355</v>
      </c>
      <c r="D18" s="19373"/>
      <c r="E18" s="19374"/>
      <c r="F18" s="19375"/>
      <c r="G18" s="19376"/>
      <c r="H18" s="19377"/>
      <c r="I18" s="19378"/>
      <c r="J18" s="19379"/>
      <c r="K18" s="19380"/>
      <c r="L18" s="19381"/>
      <c r="M18" s="19382"/>
      <c r="N18" s="19383"/>
      <c r="O18" s="19384"/>
      <c r="P18" s="19385"/>
      <c r="Q18" s="19386"/>
      <c r="R18" s="19387"/>
      <c r="S18" s="19388"/>
      <c r="T18" s="19389"/>
    </row>
    <row r="19">
      <c r="A19" s="19390" t="s">
        <v>98</v>
      </c>
      <c r="B19" s="19391"/>
      <c r="C19" s="19392"/>
      <c r="D19" s="19393"/>
      <c r="E19" s="19394"/>
      <c r="F19" s="19395"/>
      <c r="G19" s="19396"/>
      <c r="H19" s="19397"/>
      <c r="I19" s="19398"/>
      <c r="J19" s="19399"/>
      <c r="K19" s="19400"/>
      <c r="L19" s="19401"/>
      <c r="M19" s="19402"/>
      <c r="N19" s="19403"/>
      <c r="O19" s="19404"/>
      <c r="P19" s="19405"/>
      <c r="Q19" s="19406"/>
      <c r="R19" s="19407"/>
      <c r="S19" s="19408"/>
      <c r="T19" s="19409"/>
    </row>
    <row r="20">
      <c r="A20" s="19410" t="s">
        <v>137</v>
      </c>
      <c r="B20" s="19411"/>
      <c r="C20" s="19412"/>
      <c r="D20" s="19413"/>
      <c r="E20" s="19414"/>
      <c r="F20" s="19415"/>
      <c r="G20" s="19416"/>
      <c r="H20" s="19417"/>
      <c r="I20" s="19418"/>
      <c r="J20" s="19419"/>
      <c r="K20" s="19420"/>
      <c r="L20" s="19421"/>
      <c r="M20" s="19422"/>
      <c r="N20" s="19423"/>
      <c r="O20" s="19424"/>
      <c r="P20" s="19425"/>
      <c r="Q20" s="19426"/>
      <c r="R20" s="19427"/>
      <c r="S20" s="19428"/>
      <c r="T20" s="19429"/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6" width="15.453125" style="19430" customWidth="true"/>
  </cols>
  <sheetData>
    <row r="1">
      <c r="A1" s="19431" t="s">
        <v>143</v>
      </c>
      <c r="B1" s="19432"/>
      <c r="C1" s="19433"/>
      <c r="D1" s="19434"/>
      <c r="E1" s="19435"/>
      <c r="F1" s="19436"/>
      <c r="G1" s="19437"/>
      <c r="H1" s="19438"/>
      <c r="I1" s="19439"/>
      <c r="J1" s="19440"/>
      <c r="K1" s="19441"/>
      <c r="L1" s="19442"/>
      <c r="M1" s="19443"/>
      <c r="N1" s="19444"/>
      <c r="O1" s="19445"/>
      <c r="P1" s="19446"/>
      <c r="Q1" s="19447"/>
      <c r="R1" s="19448"/>
      <c r="S1" s="19449"/>
      <c r="T1" s="19450"/>
    </row>
    <row r="2">
      <c r="A2" s="19451"/>
      <c r="B2" s="19452" t="s">
        <v>79</v>
      </c>
      <c r="C2" s="19453" t="s">
        <v>80</v>
      </c>
      <c r="D2" s="19454" t="s">
        <v>81</v>
      </c>
      <c r="E2" s="19455"/>
      <c r="F2" s="19456"/>
      <c r="G2" s="19457"/>
      <c r="H2" s="19458"/>
      <c r="I2" s="19459"/>
      <c r="J2" s="19460"/>
      <c r="K2" s="19461"/>
      <c r="L2" s="19462"/>
      <c r="M2" s="19463"/>
      <c r="N2" s="19464"/>
      <c r="O2" s="19465"/>
      <c r="P2" s="19466"/>
      <c r="Q2" s="19467"/>
      <c r="R2" s="19468"/>
      <c r="S2" s="19469"/>
      <c r="T2" s="19470"/>
    </row>
    <row r="3">
      <c r="A3" s="19471" t="s">
        <v>82</v>
      </c>
      <c r="B3" s="19472"/>
      <c r="C3" s="19473"/>
      <c r="D3" s="19474"/>
      <c r="E3" s="19475"/>
      <c r="F3" s="19476"/>
      <c r="G3" s="19477"/>
      <c r="H3" s="19478"/>
      <c r="I3" s="19479"/>
      <c r="J3" s="19480"/>
      <c r="K3" s="19481"/>
      <c r="L3" s="19482"/>
      <c r="M3" s="19483"/>
      <c r="N3" s="19484"/>
      <c r="O3" s="19485"/>
      <c r="P3" s="19486"/>
      <c r="Q3" s="19487"/>
      <c r="R3" s="19488"/>
      <c r="S3" s="19489"/>
      <c r="T3" s="19490"/>
    </row>
    <row r="4">
      <c r="A4" s="19491" t="s">
        <v>83</v>
      </c>
      <c r="B4" s="19492">
        <v>429</v>
      </c>
      <c r="C4" s="19493">
        <v>429</v>
      </c>
      <c r="D4" s="19494">
        <v>100</v>
      </c>
      <c r="E4" s="19495"/>
      <c r="F4" s="19496"/>
      <c r="G4" s="19497"/>
      <c r="H4" s="19498"/>
      <c r="I4" s="19499"/>
      <c r="J4" s="19500"/>
      <c r="K4" s="19501"/>
      <c r="L4" s="19502"/>
      <c r="M4" s="19503"/>
      <c r="N4" s="19504"/>
      <c r="O4" s="19505"/>
      <c r="P4" s="19506"/>
      <c r="Q4" s="19507"/>
      <c r="R4" s="19508"/>
      <c r="S4" s="19509"/>
      <c r="T4" s="19510"/>
    </row>
    <row r="5">
      <c r="A5" s="19511" t="s">
        <v>84</v>
      </c>
      <c r="B5" s="19512">
        <v>385</v>
      </c>
      <c r="C5" s="19513">
        <v>385</v>
      </c>
      <c r="D5" s="19514">
        <v>100</v>
      </c>
      <c r="E5" s="19515"/>
      <c r="F5" s="19516"/>
      <c r="G5" s="19517"/>
      <c r="H5" s="19518"/>
      <c r="I5" s="19519"/>
      <c r="J5" s="19520"/>
      <c r="K5" s="19521"/>
      <c r="L5" s="19522"/>
      <c r="M5" s="19523"/>
      <c r="N5" s="19524"/>
      <c r="O5" s="19525"/>
      <c r="P5" s="19526"/>
      <c r="Q5" s="19527"/>
      <c r="R5" s="19528"/>
      <c r="S5" s="19529"/>
      <c r="T5" s="19530"/>
    </row>
    <row r="6">
      <c r="A6" s="19531" t="s">
        <v>85</v>
      </c>
      <c r="B6" s="19532">
        <v>397</v>
      </c>
      <c r="C6" s="19533">
        <v>397</v>
      </c>
      <c r="D6" s="19534">
        <v>100</v>
      </c>
      <c r="E6" s="19535"/>
      <c r="F6" s="19536"/>
      <c r="G6" s="19537"/>
      <c r="H6" s="19538"/>
      <c r="I6" s="19539"/>
      <c r="J6" s="19540"/>
      <c r="K6" s="19541"/>
      <c r="L6" s="19542"/>
      <c r="M6" s="19543"/>
      <c r="N6" s="19544"/>
      <c r="O6" s="19545"/>
      <c r="P6" s="19546"/>
      <c r="Q6" s="19547"/>
      <c r="R6" s="19548"/>
      <c r="S6" s="19549"/>
      <c r="T6" s="19550"/>
    </row>
    <row r="7">
      <c r="A7" s="19551" t="s">
        <v>86</v>
      </c>
      <c r="B7" s="19552">
        <v>544</v>
      </c>
      <c r="C7" s="19553">
        <v>544</v>
      </c>
      <c r="D7" s="19554">
        <v>100</v>
      </c>
      <c r="E7" s="19555"/>
      <c r="F7" s="19556"/>
      <c r="G7" s="19557"/>
      <c r="H7" s="19558"/>
      <c r="I7" s="19559"/>
      <c r="J7" s="19560"/>
      <c r="K7" s="19561"/>
      <c r="L7" s="19562"/>
      <c r="M7" s="19563"/>
      <c r="N7" s="19564"/>
      <c r="O7" s="19565"/>
      <c r="P7" s="19566"/>
      <c r="Q7" s="19567"/>
      <c r="R7" s="19568"/>
      <c r="S7" s="19569"/>
      <c r="T7" s="19570"/>
    </row>
    <row r="8">
      <c r="A8" s="19571" t="s">
        <v>87</v>
      </c>
      <c r="B8" s="19572">
        <v>330</v>
      </c>
      <c r="C8" s="19573">
        <v>481</v>
      </c>
      <c r="D8" s="19574">
        <v>68.607068607068612</v>
      </c>
      <c r="E8" s="19575"/>
      <c r="F8" s="19576"/>
      <c r="G8" s="19577"/>
      <c r="H8" s="19578"/>
      <c r="I8" s="19579"/>
      <c r="J8" s="19580"/>
      <c r="K8" s="19581"/>
      <c r="L8" s="19582"/>
      <c r="M8" s="19583"/>
      <c r="N8" s="19584"/>
      <c r="O8" s="19585"/>
      <c r="P8" s="19586"/>
      <c r="Q8" s="19587"/>
      <c r="R8" s="19588"/>
      <c r="S8" s="19589"/>
      <c r="T8" s="19590"/>
    </row>
    <row r="9">
      <c r="A9" s="19591" t="s">
        <v>88</v>
      </c>
      <c r="B9" s="19592">
        <v>375</v>
      </c>
      <c r="C9" s="19593">
        <v>484</v>
      </c>
      <c r="D9" s="19594">
        <v>77.47933884297521</v>
      </c>
      <c r="E9" s="19595"/>
      <c r="F9" s="19596"/>
      <c r="G9" s="19597"/>
      <c r="H9" s="19598"/>
      <c r="I9" s="19599"/>
      <c r="J9" s="19600"/>
      <c r="K9" s="19601"/>
      <c r="L9" s="19602"/>
      <c r="M9" s="19603"/>
      <c r="N9" s="19604"/>
      <c r="O9" s="19605"/>
      <c r="P9" s="19606"/>
      <c r="Q9" s="19607"/>
      <c r="R9" s="19608"/>
      <c r="S9" s="19609"/>
      <c r="T9" s="19610"/>
    </row>
    <row r="10">
      <c r="A10" s="19611" t="s">
        <v>89</v>
      </c>
      <c r="B10" s="19612">
        <v>398</v>
      </c>
      <c r="C10" s="19613">
        <v>563</v>
      </c>
      <c r="D10" s="19614">
        <v>70.692717584369447</v>
      </c>
      <c r="E10" s="19615"/>
      <c r="F10" s="19616"/>
      <c r="G10" s="19617"/>
      <c r="H10" s="19618"/>
      <c r="I10" s="19619"/>
      <c r="J10" s="19620"/>
      <c r="K10" s="19621"/>
      <c r="L10" s="19622"/>
      <c r="M10" s="19623"/>
      <c r="N10" s="19624"/>
      <c r="O10" s="19625"/>
      <c r="P10" s="19626"/>
      <c r="Q10" s="19627"/>
      <c r="R10" s="19628"/>
      <c r="S10" s="19629"/>
      <c r="T10" s="19630"/>
    </row>
    <row r="11">
      <c r="A11" s="19631" t="s">
        <v>90</v>
      </c>
      <c r="B11" s="19632">
        <v>342</v>
      </c>
      <c r="C11" s="19633">
        <v>544</v>
      </c>
      <c r="D11" s="19634">
        <v>62.867647058823529</v>
      </c>
      <c r="E11" s="19635"/>
      <c r="F11" s="19636"/>
      <c r="G11" s="19637"/>
      <c r="H11" s="19638"/>
      <c r="I11" s="19639"/>
      <c r="J11" s="19640"/>
      <c r="K11" s="19641"/>
      <c r="L11" s="19642"/>
      <c r="M11" s="19643"/>
      <c r="N11" s="19644"/>
      <c r="O11" s="19645"/>
      <c r="P11" s="19646"/>
      <c r="Q11" s="19647"/>
      <c r="R11" s="19648"/>
      <c r="S11" s="19649"/>
      <c r="T11" s="19650"/>
    </row>
    <row r="12">
      <c r="A12" s="19651" t="s">
        <v>91</v>
      </c>
      <c r="B12" s="19652">
        <v>347</v>
      </c>
      <c r="C12" s="19653">
        <v>550</v>
      </c>
      <c r="D12" s="19654">
        <v>63.090909090909086</v>
      </c>
      <c r="E12" s="19655"/>
      <c r="F12" s="19656"/>
      <c r="G12" s="19657"/>
      <c r="H12" s="19658"/>
      <c r="I12" s="19659"/>
      <c r="J12" s="19660"/>
      <c r="K12" s="19661"/>
      <c r="L12" s="19662"/>
      <c r="M12" s="19663"/>
      <c r="N12" s="19664"/>
      <c r="O12" s="19665"/>
      <c r="P12" s="19666"/>
      <c r="Q12" s="19667"/>
      <c r="R12" s="19668"/>
      <c r="S12" s="19669"/>
      <c r="T12" s="19670"/>
    </row>
    <row r="13">
      <c r="A13" s="19671" t="s">
        <v>92</v>
      </c>
      <c r="B13" s="19672">
        <v>418</v>
      </c>
      <c r="C13" s="19673">
        <v>622</v>
      </c>
      <c r="D13" s="19674">
        <v>67.20257234726688</v>
      </c>
      <c r="E13" s="19675"/>
      <c r="F13" s="19676"/>
      <c r="G13" s="19677"/>
      <c r="H13" s="19678"/>
      <c r="I13" s="19679"/>
      <c r="J13" s="19680"/>
      <c r="K13" s="19681"/>
      <c r="L13" s="19682"/>
      <c r="M13" s="19683"/>
      <c r="N13" s="19684"/>
      <c r="O13" s="19685"/>
      <c r="P13" s="19686"/>
      <c r="Q13" s="19687"/>
      <c r="R13" s="19688"/>
      <c r="S13" s="19689"/>
      <c r="T13" s="19690"/>
    </row>
    <row r="14">
      <c r="A14" s="19691" t="s">
        <v>93</v>
      </c>
      <c r="B14" s="19692">
        <v>4</v>
      </c>
      <c r="C14" s="19693">
        <v>563</v>
      </c>
      <c r="D14" s="19694">
        <v>0.71047957371225579</v>
      </c>
      <c r="E14" s="19695"/>
      <c r="F14" s="19696"/>
      <c r="G14" s="19697"/>
      <c r="H14" s="19698"/>
      <c r="I14" s="19699"/>
      <c r="J14" s="19700"/>
      <c r="K14" s="19701"/>
      <c r="L14" s="19702"/>
      <c r="M14" s="19703"/>
      <c r="N14" s="19704"/>
      <c r="O14" s="19705"/>
      <c r="P14" s="19706"/>
      <c r="Q14" s="19707"/>
      <c r="R14" s="19708"/>
      <c r="S14" s="19709"/>
      <c r="T14" s="19710"/>
    </row>
    <row r="15">
      <c r="A15" s="19711" t="s">
        <v>94</v>
      </c>
      <c r="B15" s="19712">
        <v>29</v>
      </c>
      <c r="C15" s="19713">
        <v>529</v>
      </c>
      <c r="D15" s="19714">
        <v>5.4820415879017013</v>
      </c>
      <c r="E15" s="19715"/>
      <c r="F15" s="19716"/>
      <c r="G15" s="19717"/>
      <c r="H15" s="19718"/>
      <c r="I15" s="19719"/>
      <c r="J15" s="19720"/>
      <c r="K15" s="19721"/>
      <c r="L15" s="19722"/>
      <c r="M15" s="19723"/>
      <c r="N15" s="19724"/>
      <c r="O15" s="19725"/>
      <c r="P15" s="19726"/>
      <c r="Q15" s="19727"/>
      <c r="R15" s="19728"/>
      <c r="S15" s="19729"/>
      <c r="T15" s="19730"/>
    </row>
    <row r="16">
      <c r="A16" s="19731" t="s">
        <v>95</v>
      </c>
      <c r="B16" s="19732">
        <v>72</v>
      </c>
      <c r="C16" s="19733">
        <v>569</v>
      </c>
      <c r="D16" s="19734">
        <v>12.653778558875221</v>
      </c>
      <c r="E16" s="19735"/>
      <c r="F16" s="19736"/>
      <c r="G16" s="19737"/>
      <c r="H16" s="19738"/>
      <c r="I16" s="19739"/>
      <c r="J16" s="19740"/>
      <c r="K16" s="19741"/>
      <c r="L16" s="19742"/>
      <c r="M16" s="19743"/>
      <c r="N16" s="19744"/>
      <c r="O16" s="19745"/>
      <c r="P16" s="19746"/>
      <c r="Q16" s="19747"/>
      <c r="R16" s="19748"/>
      <c r="S16" s="19749"/>
      <c r="T16" s="19750"/>
    </row>
    <row r="17">
      <c r="A17" s="19751" t="s">
        <v>96</v>
      </c>
      <c r="B17" s="19752">
        <v>173</v>
      </c>
      <c r="C17" s="19753">
        <v>624</v>
      </c>
      <c r="D17" s="19754">
        <v>27.724358974358975</v>
      </c>
      <c r="E17" s="19755"/>
      <c r="F17" s="19756"/>
      <c r="G17" s="19757"/>
      <c r="H17" s="19758"/>
      <c r="I17" s="19759"/>
      <c r="J17" s="19760"/>
      <c r="K17" s="19761"/>
      <c r="L17" s="19762"/>
      <c r="M17" s="19763"/>
      <c r="N17" s="19764"/>
      <c r="O17" s="19765"/>
      <c r="P17" s="19766"/>
      <c r="Q17" s="19767"/>
      <c r="R17" s="19768"/>
      <c r="S17" s="19769"/>
      <c r="T17" s="19770"/>
    </row>
    <row r="18">
      <c r="A18" s="19771" t="s">
        <v>97</v>
      </c>
      <c r="B18" s="19772">
        <v>4243</v>
      </c>
      <c r="C18" s="19773">
        <v>7284</v>
      </c>
      <c r="D18" s="19774">
        <v>58.250961010433834</v>
      </c>
      <c r="E18" s="19775"/>
      <c r="F18" s="19776"/>
      <c r="G18" s="19777"/>
      <c r="H18" s="19778"/>
      <c r="I18" s="19779"/>
      <c r="J18" s="19780"/>
      <c r="K18" s="19781"/>
      <c r="L18" s="19782"/>
      <c r="M18" s="19783"/>
      <c r="N18" s="19784"/>
      <c r="O18" s="19785"/>
      <c r="P18" s="19786"/>
      <c r="Q18" s="19787"/>
      <c r="R18" s="19788"/>
      <c r="S18" s="19789"/>
      <c r="T18" s="19790"/>
    </row>
    <row r="19">
      <c r="A19" s="19791" t="s">
        <v>98</v>
      </c>
      <c r="B19" s="19792"/>
      <c r="C19" s="19793"/>
      <c r="D19" s="19794"/>
      <c r="E19" s="19795"/>
      <c r="F19" s="19796"/>
      <c r="G19" s="19797"/>
      <c r="H19" s="19798"/>
      <c r="I19" s="19799"/>
      <c r="J19" s="19800"/>
      <c r="K19" s="19801"/>
      <c r="L19" s="19802"/>
      <c r="M19" s="19803"/>
      <c r="N19" s="19804"/>
      <c r="O19" s="19805"/>
      <c r="P19" s="19806"/>
      <c r="Q19" s="19807"/>
      <c r="R19" s="19808"/>
      <c r="S19" s="19809"/>
      <c r="T19" s="19810"/>
    </row>
    <row r="20">
      <c r="A20" s="19811" t="s">
        <v>127</v>
      </c>
      <c r="B20" s="19812"/>
      <c r="C20" s="19813"/>
      <c r="D20" s="19814"/>
      <c r="E20" s="19815"/>
      <c r="F20" s="19816"/>
      <c r="G20" s="19817"/>
      <c r="H20" s="19818"/>
      <c r="I20" s="19819"/>
      <c r="J20" s="19820"/>
      <c r="K20" s="19821"/>
      <c r="L20" s="19822"/>
      <c r="M20" s="19823"/>
      <c r="N20" s="19824"/>
      <c r="O20" s="19825"/>
      <c r="P20" s="19826"/>
      <c r="Q20" s="19827"/>
      <c r="R20" s="19828"/>
      <c r="S20" s="19829"/>
      <c r="T20" s="19830"/>
    </row>
  </sheetData>
</worksheet>
</file>